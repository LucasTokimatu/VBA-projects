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trlProps/ctrlProp1.xml" ContentType="application/vnd.ms-excel.controlpropertie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hidePivotFieldList="1" defaultThemeVersion="164011"/>
  <mc:AlternateContent xmlns:mc="http://schemas.openxmlformats.org/markup-compatibility/2006">
    <mc:Choice Requires="x15">
      <x15ac:absPath xmlns:x15ac="http://schemas.microsoft.com/office/spreadsheetml/2010/11/ac" url="C:\Users\Windows 10\AppData\Roaming\Microsoft\Excel\"/>
    </mc:Choice>
  </mc:AlternateContent>
  <bookViews>
    <workbookView xWindow="0" yWindow="0" windowWidth="20490" windowHeight="7650" activeTab="1"/>
  </bookViews>
  <sheets>
    <sheet name="Table" sheetId="1" r:id="rId1"/>
    <sheet name="Dashboard" sheetId="8" r:id="rId2"/>
    <sheet name="Product Analysis" sheetId="4" r:id="rId3"/>
    <sheet name="Region-Vendor" sheetId="10" r:id="rId4"/>
    <sheet name="Region Analysis" sheetId="6" r:id="rId5"/>
    <sheet name="Date" sheetId="7" r:id="rId6"/>
    <sheet name="Tasks" sheetId="2" r:id="rId7"/>
  </sheets>
  <functionGroups builtInGroupCount="18"/>
  <definedNames>
    <definedName name="_xlnm._FilterDatabase" localSheetId="0" hidden="1">Table!$A$1:$I$28</definedName>
    <definedName name="pivotTable">OFFSET(Table!$A$1,,,COUNTA(Table!$A$1:$I$9998)-1,9)</definedName>
    <definedName name="pivotTableWork">Table!$A$1:$I$21</definedName>
    <definedName name="SegmentaçãodeDados_Product">#N/A</definedName>
    <definedName name="SegmentaçãodeDados_Product2">#N/A</definedName>
    <definedName name="SegmentaçãodeDados_Region">#N/A</definedName>
    <definedName name="SegmentaçãodeDados_Region1">#N/A</definedName>
  </definedNames>
  <calcPr calcId="162913"/>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9" i="6" l="1"/>
  <c r="E8" i="6"/>
  <c r="E7" i="6"/>
  <c r="E6" i="6"/>
  <c r="E5" i="6"/>
  <c r="F6" i="6"/>
  <c r="F7" i="6"/>
  <c r="F9" i="6"/>
  <c r="F5" i="6"/>
  <c r="F8" i="6"/>
  <c r="C10" i="10"/>
  <c r="F4" i="4"/>
  <c r="C8" i="10"/>
  <c r="C7" i="10"/>
  <c r="C6" i="10"/>
  <c r="C9" i="10"/>
  <c r="C4" i="10"/>
  <c r="F5" i="4"/>
  <c r="F6" i="4"/>
  <c r="C5" i="10"/>
  <c r="D4" i="4"/>
  <c r="D5" i="4"/>
  <c r="D6" i="4"/>
  <c r="G4" i="4" l="1"/>
  <c r="G6" i="4"/>
  <c r="G5" i="4"/>
</calcChain>
</file>

<file path=xl/sharedStrings.xml><?xml version="1.0" encoding="utf-8"?>
<sst xmlns="http://schemas.openxmlformats.org/spreadsheetml/2006/main" count="138" uniqueCount="48">
  <si>
    <t>Date</t>
  </si>
  <si>
    <t>Product</t>
  </si>
  <si>
    <t>Quantity</t>
  </si>
  <si>
    <t>Revenue</t>
  </si>
  <si>
    <t>ClientID</t>
  </si>
  <si>
    <t>ClientName</t>
  </si>
  <si>
    <t>Region</t>
  </si>
  <si>
    <t>VendorID</t>
  </si>
  <si>
    <t>VendorName</t>
  </si>
  <si>
    <t>Product A</t>
  </si>
  <si>
    <t>ABC Inc</t>
  </si>
  <si>
    <t>North</t>
  </si>
  <si>
    <t>VendorX</t>
  </si>
  <si>
    <t>Product B</t>
  </si>
  <si>
    <t>XYZ Corp</t>
  </si>
  <si>
    <t>South</t>
  </si>
  <si>
    <t>VendorY</t>
  </si>
  <si>
    <t>LMN Ltd</t>
  </si>
  <si>
    <t>East</t>
  </si>
  <si>
    <t>VendorZ</t>
  </si>
  <si>
    <t>PQR Co</t>
  </si>
  <si>
    <t>West</t>
  </si>
  <si>
    <t>JKL Industries</t>
  </si>
  <si>
    <t>VendorW</t>
  </si>
  <si>
    <t>UVW Enterprises</t>
  </si>
  <si>
    <t>DEF Limited</t>
  </si>
  <si>
    <t>VendorU</t>
  </si>
  <si>
    <t>GHI Corporation</t>
  </si>
  <si>
    <t>MNO Group</t>
  </si>
  <si>
    <t>VendorT</t>
  </si>
  <si>
    <t>RST Inc</t>
  </si>
  <si>
    <t>Create a userform</t>
  </si>
  <si>
    <t>Create Charts</t>
  </si>
  <si>
    <t>Include charts and graphs such as bar charts for sales by product, line charts for revenue trends, and pie charts for market share.</t>
  </si>
  <si>
    <t>Dynamic Filters</t>
  </si>
  <si>
    <r>
      <t>Objective:</t>
    </r>
    <r>
      <rPr>
        <sz val="11"/>
        <color theme="1"/>
        <rFont val="Calibri"/>
        <family val="2"/>
        <scheme val="minor"/>
      </rPr>
      <t xml:space="preserve"> The goal is to analyze the sales data to optimize vendor relations and increase revenue. This involves understanding which vendors contribute the most to revenue, identifying potential areas for improvement, and ensuring a balanced and strategic relationship with vendors.</t>
    </r>
  </si>
  <si>
    <t>Make dynamic table</t>
  </si>
  <si>
    <t>Rótulos de Linha</t>
  </si>
  <si>
    <t>Total Geral</t>
  </si>
  <si>
    <t>Soma de Quantity</t>
  </si>
  <si>
    <t>Soma de Revenue</t>
  </si>
  <si>
    <t>Rótulos de Coluna</t>
  </si>
  <si>
    <t>Make pie chart for each product to calculate the %</t>
  </si>
  <si>
    <t xml:space="preserve"> </t>
  </si>
  <si>
    <t>Fix the pivot table data source</t>
  </si>
  <si>
    <t>Create the themes for dashboard</t>
  </si>
  <si>
    <t>Make the charts</t>
  </si>
  <si>
    <t>Make for VENDOR a pie chart showing the % of the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</si>
</sst>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R$-416]\ * #,##0.00_-;\-[$R$-416]\ * #,##0.00_-;_-[$R$-416]\ * &quot;-&quot;??_-;_-@_-"/>
    <numFmt numFmtId="165" formatCode="&quot;R$&quot;#,##0.00"/>
  </numFmts>
  <fonts count="4" x14ac:knownFonts="1">
    <font>
      <sz val="11"/>
      <color theme="1"/>
      <name val="Calibri"/>
      <family val="2"/>
      <scheme val="minor"/>
    </font>
    <font>
      <b/>
      <sz val="11"/>
      <color theme="1"/>
      <name val="Calibri"/>
      <family val="2"/>
      <scheme val="minor"/>
    </font>
    <font>
      <sz val="11"/>
      <color rgb="FFFF0000"/>
      <name val="Calibri"/>
      <family val="2"/>
      <scheme val="minor"/>
    </font>
    <font>
      <sz val="11"/>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1" tint="4.9989318521683403E-2"/>
        <bgColor indexed="64"/>
      </patternFill>
    </fill>
  </fills>
  <borders count="12">
    <border>
      <left/>
      <right/>
      <top/>
      <bottom/>
      <diagonal/>
    </border>
    <border>
      <left/>
      <right/>
      <top style="thin">
        <color theme="4" tint="0.39997558519241921"/>
      </top>
      <bottom/>
      <diagonal/>
    </border>
    <border>
      <left/>
      <right/>
      <top/>
      <bottom style="thin">
        <color theme="4" tint="0.3999755851924192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9" fontId="3" fillId="0" borderId="0" applyFont="0" applyFill="0" applyBorder="0" applyAlignment="0" applyProtection="0"/>
  </cellStyleXfs>
  <cellXfs count="25">
    <xf numFmtId="0" fontId="0" fillId="0" borderId="0" xfId="0"/>
    <xf numFmtId="14" fontId="0" fillId="0" borderId="0" xfId="0" applyNumberFormat="1"/>
    <xf numFmtId="0" fontId="1" fillId="0" borderId="0" xfId="0" applyFon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2" fillId="0" borderId="0" xfId="0" applyFont="1"/>
    <xf numFmtId="0" fontId="1" fillId="2" borderId="1" xfId="0" applyFont="1" applyFill="1" applyBorder="1" applyAlignment="1">
      <alignment horizontal="left"/>
    </xf>
    <xf numFmtId="14" fontId="0" fillId="0" borderId="0" xfId="0" applyNumberFormat="1" applyAlignment="1">
      <alignment horizontal="left"/>
    </xf>
    <xf numFmtId="10" fontId="0" fillId="0" borderId="0" xfId="1" applyNumberFormat="1" applyFont="1"/>
    <xf numFmtId="0" fontId="1" fillId="2" borderId="2" xfId="0" applyFont="1" applyFill="1" applyBorder="1"/>
    <xf numFmtId="164" fontId="1" fillId="2" borderId="1" xfId="0" applyNumberFormat="1" applyFont="1" applyFill="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applyFont="1"/>
    <xf numFmtId="0" fontId="0" fillId="3" borderId="0" xfId="0" applyFill="1"/>
    <xf numFmtId="165" fontId="0" fillId="0" borderId="0" xfId="0" applyNumberFormat="1"/>
  </cellXfs>
  <cellStyles count="2">
    <cellStyle name="Normal" xfId="0" builtinId="0"/>
    <cellStyle name="Porcentagem" xfId="1" builtinId="5"/>
  </cellStyles>
  <dxfs count="5">
    <dxf>
      <numFmt numFmtId="164" formatCode="_-[$R$-416]\ * #,##0.00_-;\-[$R$-416]\ * #,##0.00_-;_-[$R$-416]\ * &quot;-&quot;??_-;_-@_-"/>
    </dxf>
    <dxf>
      <numFmt numFmtId="164" formatCode="_-[$R$-416]\ * #,##0.00_-;\-[$R$-416]\ * #,##0.00_-;_-[$R$-416]\ * &quot;-&quot;??_-;_-@_-"/>
    </dxf>
    <dxf>
      <numFmt numFmtId="164" formatCode="_-[$R$-416]\ * #,##0.00_-;\-[$R$-416]\ * #,##0.00_-;_-[$R$-416]\ * &quot;-&quot;??_-;_-@_-"/>
    </dxf>
    <dxf>
      <font>
        <b/>
        <i val="0"/>
        <color theme="0"/>
      </font>
      <border diagonalUp="0" diagonalDown="0">
        <left/>
        <right/>
        <top/>
        <bottom/>
        <vertical/>
        <horizontal/>
      </border>
    </dxf>
    <dxf>
      <font>
        <color theme="1"/>
      </font>
      <fill>
        <patternFill>
          <fgColor theme="1"/>
          <bgColor theme="1"/>
        </patternFill>
      </fill>
      <border diagonalUp="0" diagonalDown="0">
        <left/>
        <right/>
        <top/>
        <bottom/>
        <vertical/>
        <horizontal/>
      </border>
    </dxf>
  </dxfs>
  <tableStyles count="2" defaultTableStyle="TableStyleMedium2" defaultPivotStyle="PivotStyleLight16">
    <tableStyle name="Estilo de Segmentação de Dados 1" pivot="0" table="0" count="3"/>
    <tableStyle name="SlicerStyleDark1 2" pivot="0" table="0" count="10">
      <tableStyleElement type="wholeTable" dxfId="4"/>
      <tableStyleElement type="headerRow" dxfId="3"/>
    </tableStyle>
  </tableStyles>
  <colors>
    <mruColors>
      <color rgb="FF00445C"/>
      <color rgb="FF45214B"/>
      <color rgb="FFAA5DB7"/>
      <color rgb="FF90459D"/>
      <color rgb="FF525252"/>
      <color rgb="FF006600"/>
      <color rgb="FF336600"/>
      <color rgb="FFCC0066"/>
      <color rgb="FF009ED6"/>
      <color rgb="FF00A1DA"/>
    </mruColors>
  </colors>
  <extLst>
    <ext xmlns:x14="http://schemas.microsoft.com/office/spreadsheetml/2009/9/main" uri="{46F421CA-312F-682f-3DD2-61675219B42D}">
      <x14:dxfs count="11">
        <dxf>
          <font>
            <color rgb="FF000000"/>
          </font>
          <fill>
            <patternFill patternType="solid">
              <fgColor theme="0"/>
              <bgColor theme="0"/>
            </patternFill>
          </fill>
          <border>
            <left style="thin">
              <color theme="0"/>
            </left>
            <right style="thin">
              <color theme="0"/>
            </right>
            <top style="thin">
              <color theme="0"/>
            </top>
            <bottom style="thin">
              <color theme="0"/>
            </bottom>
            <vertical/>
            <horizontal/>
          </border>
        </dxf>
        <dxf>
          <font>
            <color theme="0"/>
          </font>
          <fill>
            <patternFill patternType="solid">
              <fgColor theme="1"/>
              <bgColor theme="1"/>
            </patternFill>
          </fill>
          <border>
            <left style="thin">
              <color theme="0"/>
            </left>
            <right style="thin">
              <color theme="0"/>
            </right>
            <top style="thin">
              <color theme="0"/>
            </top>
            <bottom style="thin">
              <color theme="0"/>
            </bottom>
            <vertical/>
            <horizontal/>
          </border>
        </dxf>
        <dxf>
          <font>
            <b/>
            <i val="0"/>
            <color theme="1"/>
          </font>
          <fill>
            <patternFill patternType="solid">
              <fgColor theme="0" tint="-0.24994659260841701"/>
              <bgColor theme="0" tint="-0.24994659260841701"/>
            </patternFill>
          </fill>
          <border diagonalUp="0" diagonalDown="0">
            <left/>
            <right/>
            <top/>
            <bottom/>
            <vertical/>
            <horizontal/>
          </border>
        </dxf>
        <dxf>
          <font>
            <b/>
            <i val="0"/>
            <color theme="1"/>
          </font>
          <fill>
            <patternFill patternType="solid">
              <fgColor theme="0" tint="-0.24994659260841701"/>
              <bgColor auto="1"/>
            </patternFill>
          </fill>
          <border diagonalUp="0" diagonalDown="0">
            <left/>
            <right/>
            <top/>
            <bottom/>
            <vertical/>
            <horizontal/>
          </border>
        </dxf>
        <dxf>
          <font>
            <color theme="1"/>
          </font>
          <fill>
            <patternFill patternType="solid">
              <fgColor theme="0"/>
              <bgColor theme="0"/>
            </patternFill>
          </fill>
          <border>
            <left style="thin">
              <color theme="0"/>
            </left>
            <right style="thin">
              <color theme="0"/>
            </right>
            <top style="thin">
              <color theme="0"/>
            </top>
            <bottom style="thin">
              <color theme="0"/>
            </bottom>
            <vertical/>
            <horizontal/>
          </border>
        </dxf>
        <dxf>
          <font>
            <color theme="1"/>
          </font>
          <fill>
            <patternFill patternType="solid">
              <fgColor theme="0"/>
              <bgColor theme="0"/>
            </patternFill>
          </fill>
          <border diagonalUp="0" diagonalDown="0">
            <left/>
            <right/>
            <top/>
            <bottom/>
            <vertical/>
            <horizontal/>
          </border>
        </dxf>
        <dxf>
          <font>
            <color theme="0"/>
          </font>
          <fill>
            <patternFill patternType="solid">
              <fgColor theme="1"/>
              <bgColor theme="1"/>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theme="1"/>
              <bgColor theme="1"/>
            </patternFill>
          </fill>
          <border>
            <left style="thin">
              <color theme="0"/>
            </left>
            <right style="thin">
              <color theme="0"/>
            </right>
            <top style="thin">
              <color theme="0"/>
            </top>
            <bottom style="thin">
              <color theme="0"/>
            </bottom>
            <vertical/>
            <horizontal/>
          </border>
        </dxf>
        <dxf>
          <font>
            <color theme="1"/>
          </font>
          <fill>
            <patternFill>
              <bgColor theme="0"/>
            </patternFill>
          </fill>
        </dxf>
        <dxf>
          <font>
            <color theme="1"/>
          </font>
          <fill>
            <patternFill>
              <fgColor theme="0"/>
              <bgColor theme="0"/>
            </patternFill>
          </fill>
        </dxf>
        <dxf>
          <font>
            <color theme="1"/>
          </font>
          <fill>
            <patternFill>
              <fgColor theme="0"/>
              <bgColor theme="0"/>
            </patternFill>
          </fill>
        </dxf>
      </x14:dxfs>
    </ext>
    <ext xmlns:x14="http://schemas.microsoft.com/office/spreadsheetml/2009/9/main" uri="{EB79DEF2-80B8-43e5-95BD-54CBDDF9020C}">
      <x14:slicerStyles defaultSlicerStyle="SlicerStyleLight1">
        <x14:slicerStyle name="Estilo de Segmentação de Dados 1">
          <x14:slicerStyleElements>
            <x14:slicerStyleElement type="unselectedItemWithData" dxfId="10"/>
            <x14:slicerStyleElement type="selectedItemWithData" dxfId="9"/>
            <x14:slicerStyleElement type="hoveredSelectedItemWithData" dxfId="8"/>
          </x14:slicerStyleElements>
        </x14:slicerStyle>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Update.xlsm]Date!Tabela dinâmica5</c:name>
    <c:fmtId val="2"/>
  </c:pivotSource>
  <c:chart>
    <c:title>
      <c:layout/>
      <c:overlay val="0"/>
      <c:spPr>
        <a:noFill/>
        <a:ln>
          <a:noFill/>
        </a:ln>
        <a:effectLst/>
      </c:spPr>
      <c:txPr>
        <a:bodyPr rot="0" spcFirstLastPara="1" vertOverflow="ellipsis" vert="horz" wrap="square" anchor="ctr" anchorCtr="1"/>
        <a:lstStyle/>
        <a:p>
          <a:pPr>
            <a:defRPr sz="1400" b="1" i="0" u="none" strike="noStrike" kern="1200" cap="none" spc="20" baseline="0">
              <a:solidFill>
                <a:schemeClr val="bg1"/>
              </a:solidFill>
              <a:latin typeface="+mn-lt"/>
              <a:ea typeface="+mn-ea"/>
              <a:cs typeface="+mn-cs"/>
            </a:defRPr>
          </a:pPr>
          <a:endParaRPr lang="pt-BR"/>
        </a:p>
      </c:txPr>
    </c:title>
    <c:autoTitleDeleted val="0"/>
    <c:pivotFmts>
      <c:pivotFmt>
        <c:idx val="0"/>
      </c:pivotFmt>
      <c:pivotFmt>
        <c:idx val="1"/>
      </c:pivotFmt>
      <c:pivotFmt>
        <c:idx val="2"/>
      </c:pivotFmt>
      <c:pivotFmt>
        <c:idx val="3"/>
      </c:pivotFmt>
      <c:pivotFmt>
        <c:idx val="4"/>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pPr>
            <a:solidFill>
              <a:schemeClr val="bg1"/>
            </a:solidFill>
            <a:ln w="60325" cap="flat" cmpd="sng" algn="ctr">
              <a:solidFill>
                <a:schemeClr val="bg1"/>
              </a:solidFill>
              <a:round/>
            </a:ln>
            <a:effectLst/>
          </c:spPr>
        </c:marker>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50800" cap="rnd" cmpd="sng" algn="ctr">
            <a:solidFill>
              <a:schemeClr val="bg1"/>
            </a:solidFill>
            <a:round/>
          </a:ln>
          <a:effectLst/>
        </c:spPr>
        <c:marker>
          <c:symbol val="square"/>
          <c:size val="7"/>
          <c:spPr>
            <a:solidFill>
              <a:schemeClr val="bg1"/>
            </a:solidFill>
            <a:ln w="53975" cap="flat" cmpd="sng" algn="ctr">
              <a:solidFill>
                <a:schemeClr val="bg1"/>
              </a:solidFill>
              <a:round/>
            </a:ln>
            <a:effectLst/>
          </c:spPr>
        </c:marker>
      </c:pivotFmt>
      <c:pivotFmt>
        <c:idx val="7"/>
        <c:spPr>
          <a:ln w="50800" cap="rnd" cmpd="sng" algn="ctr">
            <a:solidFill>
              <a:schemeClr val="bg1"/>
            </a:solidFill>
            <a:round/>
          </a:ln>
          <a:effectLst/>
        </c:spPr>
        <c:marker>
          <c:symbol val="square"/>
          <c:size val="7"/>
          <c:spPr>
            <a:solidFill>
              <a:schemeClr val="bg1"/>
            </a:solidFill>
            <a:ln w="53975" cap="flat" cmpd="sng" algn="ctr">
              <a:solidFill>
                <a:schemeClr val="bg1"/>
              </a:solidFill>
              <a:round/>
            </a:ln>
            <a:effectLst/>
          </c:spPr>
        </c:marker>
      </c:pivotFmt>
    </c:pivotFmts>
    <c:plotArea>
      <c:layout/>
      <c:lineChart>
        <c:grouping val="standard"/>
        <c:varyColors val="0"/>
        <c:ser>
          <c:idx val="0"/>
          <c:order val="0"/>
          <c:tx>
            <c:strRef>
              <c:f>Date!$B$3</c:f>
              <c:strCache>
                <c:ptCount val="1"/>
                <c:pt idx="0">
                  <c:v>Total</c:v>
                </c:pt>
              </c:strCache>
            </c:strRef>
          </c:tx>
          <c:spPr>
            <a:ln w="50800" cap="rnd" cmpd="sng" algn="ctr">
              <a:solidFill>
                <a:schemeClr val="bg1"/>
              </a:solidFill>
              <a:round/>
            </a:ln>
            <a:effectLst/>
          </c:spPr>
          <c:marker>
            <c:symbol val="square"/>
            <c:size val="7"/>
            <c:spPr>
              <a:solidFill>
                <a:schemeClr val="bg1"/>
              </a:solidFill>
              <a:ln w="53975" cap="flat" cmpd="sng" algn="ctr">
                <a:solidFill>
                  <a:schemeClr val="bg1"/>
                </a:solidFill>
                <a:round/>
              </a:ln>
              <a:effectLst/>
            </c:spPr>
          </c:marker>
          <c:cat>
            <c:strRef>
              <c:f>Date!$A$4:$A$14</c:f>
              <c:strCache>
                <c:ptCount val="10"/>
                <c:pt idx="0">
                  <c:v>01/01/2024</c:v>
                </c:pt>
                <c:pt idx="1">
                  <c:v>02/01/2024</c:v>
                </c:pt>
                <c:pt idx="2">
                  <c:v>03/01/2024</c:v>
                </c:pt>
                <c:pt idx="3">
                  <c:v>04/01/2024</c:v>
                </c:pt>
                <c:pt idx="4">
                  <c:v>05/01/2024</c:v>
                </c:pt>
                <c:pt idx="5">
                  <c:v>06/01/2024</c:v>
                </c:pt>
                <c:pt idx="6">
                  <c:v>07/01/2024</c:v>
                </c:pt>
                <c:pt idx="7">
                  <c:v>08/01/2024</c:v>
                </c:pt>
                <c:pt idx="8">
                  <c:v>09/01/2024</c:v>
                </c:pt>
                <c:pt idx="9">
                  <c:v>10/01/2024</c:v>
                </c:pt>
              </c:strCache>
            </c:strRef>
          </c:cat>
          <c:val>
            <c:numRef>
              <c:f>Date!$B$4:$B$14</c:f>
              <c:numCache>
                <c:formatCode>_-[$R$-416]\ * #,##0.00_-;\-[$R$-416]\ * #,##0.00_-;_-[$R$-416]\ * "-"??_-;_-@_-</c:formatCode>
                <c:ptCount val="10"/>
                <c:pt idx="0">
                  <c:v>8000</c:v>
                </c:pt>
                <c:pt idx="1">
                  <c:v>7000</c:v>
                </c:pt>
                <c:pt idx="2">
                  <c:v>9500</c:v>
                </c:pt>
                <c:pt idx="3">
                  <c:v>8300</c:v>
                </c:pt>
                <c:pt idx="4">
                  <c:v>8000</c:v>
                </c:pt>
                <c:pt idx="5">
                  <c:v>8200</c:v>
                </c:pt>
                <c:pt idx="6">
                  <c:v>9200</c:v>
                </c:pt>
                <c:pt idx="7">
                  <c:v>9800</c:v>
                </c:pt>
                <c:pt idx="8">
                  <c:v>6000</c:v>
                </c:pt>
                <c:pt idx="9">
                  <c:v>8000</c:v>
                </c:pt>
              </c:numCache>
            </c:numRef>
          </c:val>
          <c:smooth val="0"/>
          <c:extLst>
            <c:ext xmlns:c16="http://schemas.microsoft.com/office/drawing/2014/chart" uri="{C3380CC4-5D6E-409C-BE32-E72D297353CC}">
              <c16:uniqueId val="{00000000-12E5-425D-9246-3363732C28F9}"/>
            </c:ext>
          </c:extLst>
        </c:ser>
        <c:dLbls>
          <c:showLegendKey val="0"/>
          <c:showVal val="0"/>
          <c:showCatName val="0"/>
          <c:showSerName val="0"/>
          <c:showPercent val="0"/>
          <c:showBubbleSize val="0"/>
        </c:dLbls>
        <c:dropLines>
          <c:spPr>
            <a:ln w="15875" cap="flat" cmpd="sng" algn="ctr">
              <a:solidFill>
                <a:schemeClr val="bg1">
                  <a:alpha val="43000"/>
                </a:schemeClr>
              </a:solidFill>
              <a:prstDash val="sysDash"/>
              <a:round/>
            </a:ln>
            <a:effectLst/>
          </c:spPr>
        </c:dropLines>
        <c:marker val="1"/>
        <c:smooth val="0"/>
        <c:axId val="1421110287"/>
        <c:axId val="1421111119"/>
      </c:lineChart>
      <c:catAx>
        <c:axId val="1421110287"/>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bg1"/>
                </a:solidFill>
                <a:latin typeface="+mn-lt"/>
                <a:ea typeface="+mn-ea"/>
                <a:cs typeface="+mn-cs"/>
              </a:defRPr>
            </a:pPr>
            <a:endParaRPr lang="pt-BR"/>
          </a:p>
        </c:txPr>
        <c:crossAx val="1421111119"/>
        <c:crosses val="autoZero"/>
        <c:auto val="1"/>
        <c:lblAlgn val="ctr"/>
        <c:lblOffset val="100"/>
        <c:noMultiLvlLbl val="0"/>
      </c:catAx>
      <c:valAx>
        <c:axId val="1421111119"/>
        <c:scaling>
          <c:orientation val="minMax"/>
        </c:scaling>
        <c:delete val="0"/>
        <c:axPos val="l"/>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bg1"/>
                </a:solidFill>
                <a:latin typeface="+mn-lt"/>
                <a:ea typeface="+mn-ea"/>
                <a:cs typeface="+mn-cs"/>
              </a:defRPr>
            </a:pPr>
            <a:endParaRPr lang="pt-BR"/>
          </a:p>
        </c:txPr>
        <c:crossAx val="142111028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pt-BR" b="1"/>
              <a:t>Products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pt-BR"/>
        </a:p>
      </c:txPr>
    </c:title>
    <c:autoTitleDeleted val="0"/>
    <c:plotArea>
      <c:layout/>
      <c:barChart>
        <c:barDir val="col"/>
        <c:grouping val="clustered"/>
        <c:varyColors val="0"/>
        <c:ser>
          <c:idx val="0"/>
          <c:order val="0"/>
          <c:spPr>
            <a:gradFill flip="none" rotWithShape="1">
              <a:gsLst>
                <a:gs pos="100000">
                  <a:schemeClr val="bg1">
                    <a:alpha val="11000"/>
                  </a:schemeClr>
                </a:gs>
                <a:gs pos="0">
                  <a:schemeClr val="bg1">
                    <a:lumMod val="85000"/>
                  </a:schemeClr>
                </a:gs>
              </a:gsLst>
              <a:lin ang="3600000" scaled="0"/>
              <a:tileRect/>
            </a:gradFill>
            <a:ln>
              <a:noFill/>
            </a:ln>
            <a:effectLst/>
          </c:spPr>
          <c:invertIfNegative val="0"/>
          <c:cat>
            <c:strRef>
              <c:f>'Product Analysis'!$E$4:$E$5</c:f>
              <c:strCache>
                <c:ptCount val="2"/>
                <c:pt idx="0">
                  <c:v>Product A</c:v>
                </c:pt>
                <c:pt idx="1">
                  <c:v>Product B</c:v>
                </c:pt>
              </c:strCache>
            </c:strRef>
          </c:cat>
          <c:val>
            <c:numRef>
              <c:f>'Product Analysis'!$F$4:$F$5</c:f>
              <c:numCache>
                <c:formatCode>_-[$R$-416]\ * #,##0.00_-;\-[$R$-416]\ * #,##0.00_-;_-[$R$-416]\ * "-"??_-;_-@_-</c:formatCode>
                <c:ptCount val="2"/>
                <c:pt idx="0">
                  <c:v>52500</c:v>
                </c:pt>
                <c:pt idx="1">
                  <c:v>29500</c:v>
                </c:pt>
              </c:numCache>
            </c:numRef>
          </c:val>
          <c:extLst>
            <c:ext xmlns:c16="http://schemas.microsoft.com/office/drawing/2014/chart" uri="{C3380CC4-5D6E-409C-BE32-E72D297353CC}">
              <c16:uniqueId val="{00000000-7D02-4095-802E-2DA8BADE225E}"/>
            </c:ext>
          </c:extLst>
        </c:ser>
        <c:dLbls>
          <c:showLegendKey val="0"/>
          <c:showVal val="0"/>
          <c:showCatName val="0"/>
          <c:showSerName val="0"/>
          <c:showPercent val="0"/>
          <c:showBubbleSize val="0"/>
        </c:dLbls>
        <c:gapWidth val="219"/>
        <c:overlap val="-27"/>
        <c:axId val="1719847327"/>
        <c:axId val="1767626783"/>
      </c:barChart>
      <c:catAx>
        <c:axId val="171984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BR"/>
          </a:p>
        </c:txPr>
        <c:crossAx val="1767626783"/>
        <c:crosses val="autoZero"/>
        <c:auto val="1"/>
        <c:lblAlgn val="ctr"/>
        <c:lblOffset val="100"/>
        <c:noMultiLvlLbl val="0"/>
      </c:catAx>
      <c:valAx>
        <c:axId val="1767626783"/>
        <c:scaling>
          <c:orientation val="minMax"/>
        </c:scaling>
        <c:delete val="0"/>
        <c:axPos val="l"/>
        <c:majorGridlines>
          <c:spPr>
            <a:ln w="9525" cap="flat" cmpd="sng" algn="ctr">
              <a:solidFill>
                <a:schemeClr val="tx1">
                  <a:lumMod val="15000"/>
                  <a:lumOff val="85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BR"/>
          </a:p>
        </c:txPr>
        <c:crossAx val="17198473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Update.xlsm]Region-Vendor!Tabela dinâmica3</c:name>
    <c:fmtId val="8"/>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pt-BR" b="1"/>
              <a:t>Vendors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gradFill>
            <a:gsLst>
              <a:gs pos="100000">
                <a:schemeClr val="bg1">
                  <a:alpha val="18000"/>
                </a:schemeClr>
              </a:gs>
              <a:gs pos="2000">
                <a:schemeClr val="bg1">
                  <a:alpha val="76000"/>
                </a:schemeClr>
              </a:gs>
            </a:gsLst>
            <a:lin ang="3600000" scaled="0"/>
          </a:gradFill>
          <a:ln>
            <a:noFill/>
          </a:ln>
          <a:effectLst/>
        </c:spPr>
        <c:marker>
          <c:symbol val="none"/>
        </c:marker>
      </c:pivotFmt>
      <c:pivotFmt>
        <c:idx val="4"/>
        <c:spPr>
          <a:gradFill flip="none" rotWithShape="1">
            <a:gsLst>
              <a:gs pos="0">
                <a:schemeClr val="bg1">
                  <a:lumMod val="95000"/>
                  <a:alpha val="81000"/>
                </a:schemeClr>
              </a:gs>
              <a:gs pos="100000">
                <a:schemeClr val="bg1">
                  <a:alpha val="13000"/>
                </a:schemeClr>
              </a:gs>
            </a:gsLst>
            <a:lin ang="3600000" scaled="0"/>
            <a:tileRect/>
          </a:gradFill>
          <a:ln>
            <a:noFill/>
          </a:ln>
          <a:effectLst/>
        </c:spPr>
        <c:marker>
          <c:symbol val="none"/>
        </c:marker>
      </c:pivotFmt>
    </c:pivotFmts>
    <c:plotArea>
      <c:layout/>
      <c:barChart>
        <c:barDir val="col"/>
        <c:grouping val="clustered"/>
        <c:varyColors val="0"/>
        <c:ser>
          <c:idx val="0"/>
          <c:order val="0"/>
          <c:tx>
            <c:strRef>
              <c:f>'Region-Vendor'!$B$3</c:f>
              <c:strCache>
                <c:ptCount val="1"/>
                <c:pt idx="0">
                  <c:v>Total</c:v>
                </c:pt>
              </c:strCache>
            </c:strRef>
          </c:tx>
          <c:spPr>
            <a:gradFill flip="none" rotWithShape="1">
              <a:gsLst>
                <a:gs pos="0">
                  <a:schemeClr val="bg1">
                    <a:lumMod val="95000"/>
                    <a:alpha val="81000"/>
                  </a:schemeClr>
                </a:gs>
                <a:gs pos="100000">
                  <a:schemeClr val="bg1">
                    <a:alpha val="13000"/>
                  </a:schemeClr>
                </a:gs>
              </a:gsLst>
              <a:lin ang="3600000" scaled="0"/>
              <a:tileRect/>
            </a:gradFill>
            <a:ln>
              <a:noFill/>
            </a:ln>
            <a:effectLst/>
          </c:spPr>
          <c:invertIfNegative val="0"/>
          <c:cat>
            <c:strRef>
              <c:f>'Region-Vendor'!$A$4:$A$10</c:f>
              <c:strCache>
                <c:ptCount val="6"/>
                <c:pt idx="0">
                  <c:v>VendorT</c:v>
                </c:pt>
                <c:pt idx="1">
                  <c:v>VendorU</c:v>
                </c:pt>
                <c:pt idx="2">
                  <c:v>VendorW</c:v>
                </c:pt>
                <c:pt idx="3">
                  <c:v>VendorX</c:v>
                </c:pt>
                <c:pt idx="4">
                  <c:v>VendorY</c:v>
                </c:pt>
                <c:pt idx="5">
                  <c:v>VendorZ</c:v>
                </c:pt>
              </c:strCache>
            </c:strRef>
          </c:cat>
          <c:val>
            <c:numRef>
              <c:f>'Region-Vendor'!$B$4:$B$10</c:f>
              <c:numCache>
                <c:formatCode>_-[$R$-416]\ * #,##0.00_-;\-[$R$-416]\ * #,##0.00_-;_-[$R$-416]\ * "-"??_-;_-@_-</c:formatCode>
                <c:ptCount val="6"/>
                <c:pt idx="0">
                  <c:v>8800</c:v>
                </c:pt>
                <c:pt idx="1">
                  <c:v>11700</c:v>
                </c:pt>
                <c:pt idx="2">
                  <c:v>11800</c:v>
                </c:pt>
                <c:pt idx="3">
                  <c:v>19400</c:v>
                </c:pt>
                <c:pt idx="4">
                  <c:v>15100</c:v>
                </c:pt>
                <c:pt idx="5">
                  <c:v>15200</c:v>
                </c:pt>
              </c:numCache>
            </c:numRef>
          </c:val>
          <c:extLst>
            <c:ext xmlns:c16="http://schemas.microsoft.com/office/drawing/2014/chart" uri="{C3380CC4-5D6E-409C-BE32-E72D297353CC}">
              <c16:uniqueId val="{00000000-09CD-4D2A-9316-77DB244D5350}"/>
            </c:ext>
          </c:extLst>
        </c:ser>
        <c:dLbls>
          <c:showLegendKey val="0"/>
          <c:showVal val="0"/>
          <c:showCatName val="0"/>
          <c:showSerName val="0"/>
          <c:showPercent val="0"/>
          <c:showBubbleSize val="0"/>
        </c:dLbls>
        <c:gapWidth val="219"/>
        <c:overlap val="-27"/>
        <c:axId val="321956608"/>
        <c:axId val="321949952"/>
      </c:barChart>
      <c:catAx>
        <c:axId val="32195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BR"/>
          </a:p>
        </c:txPr>
        <c:crossAx val="321949952"/>
        <c:crosses val="autoZero"/>
        <c:auto val="1"/>
        <c:lblAlgn val="ctr"/>
        <c:lblOffset val="100"/>
        <c:noMultiLvlLbl val="0"/>
      </c:catAx>
      <c:valAx>
        <c:axId val="321949952"/>
        <c:scaling>
          <c:orientation val="minMax"/>
        </c:scaling>
        <c:delete val="0"/>
        <c:axPos val="l"/>
        <c:majorGridlines>
          <c:spPr>
            <a:ln w="9525" cap="flat" cmpd="sng" algn="ctr">
              <a:solidFill>
                <a:schemeClr val="tx1">
                  <a:lumMod val="15000"/>
                  <a:lumOff val="85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BR"/>
          </a:p>
        </c:txPr>
        <c:crossAx val="3219566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Update.xlsm]Region Analysis!Tabela dinâmica3</c:name>
    <c:fmtId val="14"/>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pt-BR" b="1">
                <a:solidFill>
                  <a:schemeClr val="bg1"/>
                </a:solidFill>
              </a:rPr>
              <a:t>Products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gradFill>
            <a:gsLst>
              <a:gs pos="100000">
                <a:srgbClr val="CC0066">
                  <a:alpha val="15000"/>
                </a:srgbClr>
              </a:gs>
              <a:gs pos="2000">
                <a:srgbClr val="CC0066">
                  <a:alpha val="82000"/>
                </a:srgbClr>
              </a:gs>
            </a:gsLst>
            <a:lin ang="3600000" scaled="0"/>
          </a:gradFill>
          <a:ln>
            <a:noFill/>
          </a:ln>
          <a:effectLst/>
        </c:spPr>
        <c:marker>
          <c:symbol val="none"/>
        </c:marker>
      </c:pivotFmt>
      <c:pivotFmt>
        <c:idx val="9"/>
        <c:spPr>
          <a:gradFill>
            <a:gsLst>
              <a:gs pos="0">
                <a:srgbClr val="006600">
                  <a:alpha val="90000"/>
                </a:srgbClr>
              </a:gs>
              <a:gs pos="100000">
                <a:srgbClr val="006600">
                  <a:alpha val="29804"/>
                </a:srgbClr>
              </a:gs>
            </a:gsLst>
            <a:lin ang="3600000" scaled="0"/>
          </a:gradFill>
          <a:ln>
            <a:noFill/>
          </a:ln>
          <a:effectLst/>
        </c:spPr>
        <c:marker>
          <c:symbol val="none"/>
        </c:marker>
      </c:pivotFmt>
      <c:pivotFmt>
        <c:idx val="10"/>
        <c:spPr>
          <a:solidFill>
            <a:schemeClr val="accent1"/>
          </a:solidFill>
          <a:ln>
            <a:noFill/>
          </a:ln>
          <a:effectLst/>
        </c:spPr>
        <c:marker>
          <c:symbol val="none"/>
        </c:marker>
      </c:pivotFmt>
    </c:pivotFmts>
    <c:plotArea>
      <c:layout/>
      <c:barChart>
        <c:barDir val="col"/>
        <c:grouping val="clustered"/>
        <c:varyColors val="0"/>
        <c:ser>
          <c:idx val="0"/>
          <c:order val="0"/>
          <c:tx>
            <c:strRef>
              <c:f>'Region Analysis'!$B$3:$B$4</c:f>
              <c:strCache>
                <c:ptCount val="1"/>
                <c:pt idx="0">
                  <c:v>Product A</c:v>
                </c:pt>
              </c:strCache>
            </c:strRef>
          </c:tx>
          <c:spPr>
            <a:gradFill>
              <a:gsLst>
                <a:gs pos="100000">
                  <a:srgbClr val="CC0066">
                    <a:alpha val="15000"/>
                  </a:srgbClr>
                </a:gs>
                <a:gs pos="2000">
                  <a:srgbClr val="CC0066">
                    <a:alpha val="82000"/>
                  </a:srgbClr>
                </a:gs>
              </a:gsLst>
              <a:lin ang="3600000" scaled="0"/>
            </a:gradFill>
            <a:ln>
              <a:noFill/>
            </a:ln>
            <a:effectLst/>
          </c:spPr>
          <c:invertIfNegative val="0"/>
          <c:cat>
            <c:strRef>
              <c:f>'Region Analysis'!$A$5:$A$9</c:f>
              <c:strCache>
                <c:ptCount val="4"/>
                <c:pt idx="0">
                  <c:v>East</c:v>
                </c:pt>
                <c:pt idx="1">
                  <c:v>North</c:v>
                </c:pt>
                <c:pt idx="2">
                  <c:v>South</c:v>
                </c:pt>
                <c:pt idx="3">
                  <c:v>West</c:v>
                </c:pt>
              </c:strCache>
            </c:strRef>
          </c:cat>
          <c:val>
            <c:numRef>
              <c:f>'Region Analysis'!$B$5:$B$9</c:f>
              <c:numCache>
                <c:formatCode>_-[$R$-416]\ * #,##0.00_-;\-[$R$-416]\ * #,##0.00_-;_-[$R$-416]\ * "-"??_-;_-@_-</c:formatCode>
                <c:ptCount val="4"/>
                <c:pt idx="0">
                  <c:v>26900</c:v>
                </c:pt>
                <c:pt idx="1">
                  <c:v>25600</c:v>
                </c:pt>
              </c:numCache>
            </c:numRef>
          </c:val>
          <c:extLst>
            <c:ext xmlns:c16="http://schemas.microsoft.com/office/drawing/2014/chart" uri="{C3380CC4-5D6E-409C-BE32-E72D297353CC}">
              <c16:uniqueId val="{00000000-F15B-452B-9BF3-E08AEA771165}"/>
            </c:ext>
          </c:extLst>
        </c:ser>
        <c:ser>
          <c:idx val="1"/>
          <c:order val="1"/>
          <c:tx>
            <c:strRef>
              <c:f>'Region Analysis'!$C$3:$C$4</c:f>
              <c:strCache>
                <c:ptCount val="1"/>
                <c:pt idx="0">
                  <c:v>Product B</c:v>
                </c:pt>
              </c:strCache>
            </c:strRef>
          </c:tx>
          <c:spPr>
            <a:gradFill>
              <a:gsLst>
                <a:gs pos="0">
                  <a:srgbClr val="006600">
                    <a:alpha val="90000"/>
                  </a:srgbClr>
                </a:gs>
                <a:gs pos="100000">
                  <a:srgbClr val="006600">
                    <a:alpha val="29804"/>
                  </a:srgbClr>
                </a:gs>
              </a:gsLst>
              <a:lin ang="3600000" scaled="0"/>
            </a:gradFill>
            <a:ln>
              <a:noFill/>
            </a:ln>
            <a:effectLst/>
          </c:spPr>
          <c:invertIfNegative val="0"/>
          <c:cat>
            <c:strRef>
              <c:f>'Region Analysis'!$A$5:$A$9</c:f>
              <c:strCache>
                <c:ptCount val="4"/>
                <c:pt idx="0">
                  <c:v>East</c:v>
                </c:pt>
                <c:pt idx="1">
                  <c:v>North</c:v>
                </c:pt>
                <c:pt idx="2">
                  <c:v>South</c:v>
                </c:pt>
                <c:pt idx="3">
                  <c:v>West</c:v>
                </c:pt>
              </c:strCache>
            </c:strRef>
          </c:cat>
          <c:val>
            <c:numRef>
              <c:f>'Region Analysis'!$C$5:$C$9</c:f>
              <c:numCache>
                <c:formatCode>_-[$R$-416]\ * #,##0.00_-;\-[$R$-416]\ * #,##0.00_-;_-[$R$-416]\ * "-"??_-;_-@_-</c:formatCode>
                <c:ptCount val="4"/>
                <c:pt idx="2">
                  <c:v>15100</c:v>
                </c:pt>
                <c:pt idx="3">
                  <c:v>14400</c:v>
                </c:pt>
              </c:numCache>
            </c:numRef>
          </c:val>
          <c:extLst>
            <c:ext xmlns:c16="http://schemas.microsoft.com/office/drawing/2014/chart" uri="{C3380CC4-5D6E-409C-BE32-E72D297353CC}">
              <c16:uniqueId val="{00000000-862C-427D-BFC3-0615021205B7}"/>
            </c:ext>
          </c:extLst>
        </c:ser>
        <c:dLbls>
          <c:showLegendKey val="0"/>
          <c:showVal val="0"/>
          <c:showCatName val="0"/>
          <c:showSerName val="0"/>
          <c:showPercent val="0"/>
          <c:showBubbleSize val="0"/>
        </c:dLbls>
        <c:gapWidth val="182"/>
        <c:axId val="995325759"/>
        <c:axId val="995322847"/>
      </c:barChart>
      <c:catAx>
        <c:axId val="99532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BR"/>
          </a:p>
        </c:txPr>
        <c:crossAx val="995322847"/>
        <c:crosses val="autoZero"/>
        <c:auto val="1"/>
        <c:lblAlgn val="ctr"/>
        <c:lblOffset val="100"/>
        <c:noMultiLvlLbl val="0"/>
      </c:catAx>
      <c:valAx>
        <c:axId val="995322847"/>
        <c:scaling>
          <c:orientation val="minMax"/>
        </c:scaling>
        <c:delete val="0"/>
        <c:axPos val="l"/>
        <c:majorGridlines>
          <c:spPr>
            <a:ln w="9525" cap="flat" cmpd="sng" algn="ctr">
              <a:solidFill>
                <a:schemeClr val="tx1">
                  <a:lumMod val="15000"/>
                  <a:lumOff val="85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BR"/>
          </a:p>
        </c:txPr>
        <c:crossAx val="995325759"/>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BR"/>
        </a:p>
      </c:txPr>
    </c:legend>
    <c:plotVisOnly val="1"/>
    <c:dispBlanksAs val="gap"/>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doughnutChart>
        <c:varyColors val="1"/>
        <c:dLbls>
          <c:showLegendKey val="0"/>
          <c:showVal val="0"/>
          <c:showCatName val="0"/>
          <c:showSerName val="0"/>
          <c:showPercent val="0"/>
          <c:showBubbleSize val="0"/>
          <c:showLeaderLines val="0"/>
        </c:dLbls>
        <c:firstSliceAng val="0"/>
        <c:holeSize val="62"/>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cat>
            <c:strRef>
              <c:f>'Product Analysis'!$E$4:$E$5</c:f>
              <c:strCache>
                <c:ptCount val="2"/>
                <c:pt idx="0">
                  <c:v>Product A</c:v>
                </c:pt>
                <c:pt idx="1">
                  <c:v>Product B</c:v>
                </c:pt>
              </c:strCache>
            </c:strRef>
          </c:cat>
          <c:val>
            <c:numRef>
              <c:f>'Product Analysis'!$F$4:$F$5</c:f>
              <c:numCache>
                <c:formatCode>_-[$R$-416]\ * #,##0.00_-;\-[$R$-416]\ * #,##0.00_-;_-[$R$-416]\ * "-"??_-;_-@_-</c:formatCode>
                <c:ptCount val="2"/>
                <c:pt idx="0">
                  <c:v>52500</c:v>
                </c:pt>
                <c:pt idx="1">
                  <c:v>29500</c:v>
                </c:pt>
              </c:numCache>
            </c:numRef>
          </c:val>
          <c:extLst>
            <c:ext xmlns:c16="http://schemas.microsoft.com/office/drawing/2014/chart" uri="{C3380CC4-5D6E-409C-BE32-E72D297353CC}">
              <c16:uniqueId val="{00000000-7BA3-42A2-B9D2-DD45E52CAEA5}"/>
            </c:ext>
          </c:extLst>
        </c:ser>
        <c:dLbls>
          <c:showLegendKey val="0"/>
          <c:showVal val="0"/>
          <c:showCatName val="0"/>
          <c:showSerName val="0"/>
          <c:showPercent val="0"/>
          <c:showBubbleSize val="0"/>
        </c:dLbls>
        <c:gapWidth val="219"/>
        <c:overlap val="-27"/>
        <c:axId val="1719847327"/>
        <c:axId val="1767626783"/>
      </c:barChart>
      <c:catAx>
        <c:axId val="171984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67626783"/>
        <c:crosses val="autoZero"/>
        <c:auto val="1"/>
        <c:lblAlgn val="ctr"/>
        <c:lblOffset val="100"/>
        <c:noMultiLvlLbl val="0"/>
      </c:catAx>
      <c:valAx>
        <c:axId val="1767626783"/>
        <c:scaling>
          <c:orientation val="minMax"/>
        </c:scaling>
        <c:delete val="0"/>
        <c:axPos val="l"/>
        <c:majorGridlines>
          <c:spPr>
            <a:ln w="9525" cap="flat" cmpd="sng" algn="ctr">
              <a:solidFill>
                <a:schemeClr val="tx1">
                  <a:lumMod val="15000"/>
                  <a:lumOff val="85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1984732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Update.xlsm]Region-Vendor!Tabela dinâmica3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'Region-Vendor'!$B$3</c:f>
              <c:strCache>
                <c:ptCount val="1"/>
                <c:pt idx="0">
                  <c:v>Total</c:v>
                </c:pt>
              </c:strCache>
            </c:strRef>
          </c:tx>
          <c:spPr>
            <a:solidFill>
              <a:schemeClr val="accent1"/>
            </a:solidFill>
            <a:ln>
              <a:noFill/>
            </a:ln>
            <a:effectLst/>
          </c:spPr>
          <c:invertIfNegative val="0"/>
          <c:cat>
            <c:strRef>
              <c:f>'Region-Vendor'!$A$4:$A$10</c:f>
              <c:strCache>
                <c:ptCount val="6"/>
                <c:pt idx="0">
                  <c:v>VendorT</c:v>
                </c:pt>
                <c:pt idx="1">
                  <c:v>VendorU</c:v>
                </c:pt>
                <c:pt idx="2">
                  <c:v>VendorW</c:v>
                </c:pt>
                <c:pt idx="3">
                  <c:v>VendorX</c:v>
                </c:pt>
                <c:pt idx="4">
                  <c:v>VendorY</c:v>
                </c:pt>
                <c:pt idx="5">
                  <c:v>VendorZ</c:v>
                </c:pt>
              </c:strCache>
            </c:strRef>
          </c:cat>
          <c:val>
            <c:numRef>
              <c:f>'Region-Vendor'!$B$4:$B$10</c:f>
              <c:numCache>
                <c:formatCode>_-[$R$-416]\ * #,##0.00_-;\-[$R$-416]\ * #,##0.00_-;_-[$R$-416]\ * "-"??_-;_-@_-</c:formatCode>
                <c:ptCount val="6"/>
                <c:pt idx="0">
                  <c:v>8800</c:v>
                </c:pt>
                <c:pt idx="1">
                  <c:v>11700</c:v>
                </c:pt>
                <c:pt idx="2">
                  <c:v>11800</c:v>
                </c:pt>
                <c:pt idx="3">
                  <c:v>19400</c:v>
                </c:pt>
                <c:pt idx="4">
                  <c:v>15100</c:v>
                </c:pt>
                <c:pt idx="5">
                  <c:v>15200</c:v>
                </c:pt>
              </c:numCache>
            </c:numRef>
          </c:val>
          <c:extLst>
            <c:ext xmlns:c16="http://schemas.microsoft.com/office/drawing/2014/chart" uri="{C3380CC4-5D6E-409C-BE32-E72D297353CC}">
              <c16:uniqueId val="{00000000-15BE-479D-9F8F-0980887B4618}"/>
            </c:ext>
          </c:extLst>
        </c:ser>
        <c:dLbls>
          <c:showLegendKey val="0"/>
          <c:showVal val="0"/>
          <c:showCatName val="0"/>
          <c:showSerName val="0"/>
          <c:showPercent val="0"/>
          <c:showBubbleSize val="0"/>
        </c:dLbls>
        <c:gapWidth val="219"/>
        <c:overlap val="-27"/>
        <c:axId val="321956608"/>
        <c:axId val="321949952"/>
      </c:barChart>
      <c:catAx>
        <c:axId val="32195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1949952"/>
        <c:crosses val="autoZero"/>
        <c:auto val="1"/>
        <c:lblAlgn val="ctr"/>
        <c:lblOffset val="100"/>
        <c:noMultiLvlLbl val="0"/>
      </c:catAx>
      <c:valAx>
        <c:axId val="321949952"/>
        <c:scaling>
          <c:orientation val="minMax"/>
        </c:scaling>
        <c:delete val="0"/>
        <c:axPos val="l"/>
        <c:majorGridlines>
          <c:spPr>
            <a:ln w="9525" cap="flat" cmpd="sng" algn="ctr">
              <a:solidFill>
                <a:schemeClr val="tx1">
                  <a:lumMod val="15000"/>
                  <a:lumOff val="85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1956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Update.xlsm]Region Analysis!Tabela dinâmica3</c:name>
    <c:fmtId val="1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'Region Analysis'!$B$3:$B$4</c:f>
              <c:strCache>
                <c:ptCount val="1"/>
                <c:pt idx="0">
                  <c:v>Product A</c:v>
                </c:pt>
              </c:strCache>
            </c:strRef>
          </c:tx>
          <c:spPr>
            <a:solidFill>
              <a:schemeClr val="accent1"/>
            </a:solidFill>
            <a:ln>
              <a:noFill/>
            </a:ln>
            <a:effectLst/>
          </c:spPr>
          <c:invertIfNegative val="0"/>
          <c:cat>
            <c:strRef>
              <c:f>'Region Analysis'!$A$5:$A$9</c:f>
              <c:strCache>
                <c:ptCount val="4"/>
                <c:pt idx="0">
                  <c:v>East</c:v>
                </c:pt>
                <c:pt idx="1">
                  <c:v>North</c:v>
                </c:pt>
                <c:pt idx="2">
                  <c:v>South</c:v>
                </c:pt>
                <c:pt idx="3">
                  <c:v>West</c:v>
                </c:pt>
              </c:strCache>
            </c:strRef>
          </c:cat>
          <c:val>
            <c:numRef>
              <c:f>'Region Analysis'!$B$5:$B$9</c:f>
              <c:numCache>
                <c:formatCode>_-[$R$-416]\ * #,##0.00_-;\-[$R$-416]\ * #,##0.00_-;_-[$R$-416]\ * "-"??_-;_-@_-</c:formatCode>
                <c:ptCount val="4"/>
                <c:pt idx="0">
                  <c:v>26900</c:v>
                </c:pt>
                <c:pt idx="1">
                  <c:v>25600</c:v>
                </c:pt>
              </c:numCache>
            </c:numRef>
          </c:val>
          <c:extLst>
            <c:ext xmlns:c16="http://schemas.microsoft.com/office/drawing/2014/chart" uri="{C3380CC4-5D6E-409C-BE32-E72D297353CC}">
              <c16:uniqueId val="{00000000-DF3A-4F93-A799-AC34A95DDD5B}"/>
            </c:ext>
          </c:extLst>
        </c:ser>
        <c:ser>
          <c:idx val="1"/>
          <c:order val="1"/>
          <c:tx>
            <c:strRef>
              <c:f>'Region Analysis'!$C$3:$C$4</c:f>
              <c:strCache>
                <c:ptCount val="1"/>
                <c:pt idx="0">
                  <c:v>Product B</c:v>
                </c:pt>
              </c:strCache>
            </c:strRef>
          </c:tx>
          <c:spPr>
            <a:solidFill>
              <a:schemeClr val="accent2"/>
            </a:solidFill>
            <a:ln>
              <a:noFill/>
            </a:ln>
            <a:effectLst/>
          </c:spPr>
          <c:invertIfNegative val="0"/>
          <c:cat>
            <c:strRef>
              <c:f>'Region Analysis'!$A$5:$A$9</c:f>
              <c:strCache>
                <c:ptCount val="4"/>
                <c:pt idx="0">
                  <c:v>East</c:v>
                </c:pt>
                <c:pt idx="1">
                  <c:v>North</c:v>
                </c:pt>
                <c:pt idx="2">
                  <c:v>South</c:v>
                </c:pt>
                <c:pt idx="3">
                  <c:v>West</c:v>
                </c:pt>
              </c:strCache>
            </c:strRef>
          </c:cat>
          <c:val>
            <c:numRef>
              <c:f>'Region Analysis'!$C$5:$C$9</c:f>
              <c:numCache>
                <c:formatCode>_-[$R$-416]\ * #,##0.00_-;\-[$R$-416]\ * #,##0.00_-;_-[$R$-416]\ * "-"??_-;_-@_-</c:formatCode>
                <c:ptCount val="4"/>
                <c:pt idx="2">
                  <c:v>15100</c:v>
                </c:pt>
                <c:pt idx="3">
                  <c:v>14400</c:v>
                </c:pt>
              </c:numCache>
            </c:numRef>
          </c:val>
          <c:extLst>
            <c:ext xmlns:c16="http://schemas.microsoft.com/office/drawing/2014/chart" uri="{C3380CC4-5D6E-409C-BE32-E72D297353CC}">
              <c16:uniqueId val="{00000000-8AD4-4A05-B777-02073FFF3544}"/>
            </c:ext>
          </c:extLst>
        </c:ser>
        <c:dLbls>
          <c:showLegendKey val="0"/>
          <c:showVal val="0"/>
          <c:showCatName val="0"/>
          <c:showSerName val="0"/>
          <c:showPercent val="0"/>
          <c:showBubbleSize val="0"/>
        </c:dLbls>
        <c:gapWidth val="182"/>
        <c:axId val="995325759"/>
        <c:axId val="995322847"/>
      </c:barChart>
      <c:catAx>
        <c:axId val="99532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5322847"/>
        <c:crosses val="autoZero"/>
        <c:auto val="1"/>
        <c:lblAlgn val="ctr"/>
        <c:lblOffset val="100"/>
        <c:noMultiLvlLbl val="0"/>
      </c:catAx>
      <c:valAx>
        <c:axId val="995322847"/>
        <c:scaling>
          <c:orientation val="minMax"/>
        </c:scaling>
        <c:delete val="0"/>
        <c:axPos val="l"/>
        <c:majorGridlines>
          <c:spPr>
            <a:ln w="9525" cap="flat" cmpd="sng" algn="ctr">
              <a:solidFill>
                <a:schemeClr val="tx1">
                  <a:lumMod val="15000"/>
                  <a:lumOff val="85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5325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6" fmlaRange="$Q$2:$Q$5" noThreeD="1" sel="1" val="0"/>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390525</xdr:colOff>
          <xdr:row>1</xdr:row>
          <xdr:rowOff>95250</xdr:rowOff>
        </xdr:from>
        <xdr:to>
          <xdr:col>13</xdr:col>
          <xdr:colOff>238125</xdr:colOff>
          <xdr:row>3</xdr:row>
          <xdr:rowOff>142875</xdr:rowOff>
        </xdr:to>
        <xdr:sp macro="" textlink="">
          <xdr:nvSpPr>
            <xdr:cNvPr id="1027" name="Drop Down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33</xdr:row>
          <xdr:rowOff>9525</xdr:rowOff>
        </xdr:from>
        <xdr:to>
          <xdr:col>14</xdr:col>
          <xdr:colOff>495300</xdr:colOff>
          <xdr:row>35</xdr:row>
          <xdr:rowOff>95250</xdr:rowOff>
        </xdr:to>
        <xdr:sp macro="" textlink="">
          <xdr:nvSpPr>
            <xdr:cNvPr id="1030" name="ComboBox1"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238125</xdr:colOff>
          <xdr:row>8</xdr:row>
          <xdr:rowOff>123825</xdr:rowOff>
        </xdr:from>
        <xdr:to>
          <xdr:col>14</xdr:col>
          <xdr:colOff>457200</xdr:colOff>
          <xdr:row>12</xdr:row>
          <xdr:rowOff>19050</xdr:rowOff>
        </xdr:to>
        <xdr:sp macro="" textlink="">
          <xdr:nvSpPr>
            <xdr:cNvPr id="1033" name="CommandButton1"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31749</xdr:colOff>
      <xdr:row>0</xdr:row>
      <xdr:rowOff>0</xdr:rowOff>
    </xdr:from>
    <xdr:to>
      <xdr:col>44</xdr:col>
      <xdr:colOff>209349</xdr:colOff>
      <xdr:row>6</xdr:row>
      <xdr:rowOff>79375</xdr:rowOff>
    </xdr:to>
    <xdr:sp macro="" textlink="">
      <xdr:nvSpPr>
        <xdr:cNvPr id="44" name="bgTitleTheme3" hidden="1"/>
        <xdr:cNvSpPr/>
      </xdr:nvSpPr>
      <xdr:spPr>
        <a:xfrm>
          <a:off x="31749" y="0"/>
          <a:ext cx="27000000" cy="1222375"/>
        </a:xfrm>
        <a:prstGeom prst="rect">
          <a:avLst/>
        </a:prstGeom>
        <a:gradFill>
          <a:gsLst>
            <a:gs pos="0">
              <a:srgbClr val="002060"/>
            </a:gs>
            <a:gs pos="95000">
              <a:schemeClr val="accent5">
                <a:lumMod val="65000"/>
                <a:lumOff val="35000"/>
              </a:schemeClr>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9600"/>
        </a:p>
      </xdr:txBody>
    </xdr:sp>
    <xdr:clientData/>
  </xdr:twoCellAnchor>
  <xdr:twoCellAnchor>
    <xdr:from>
      <xdr:col>0</xdr:col>
      <xdr:colOff>31749</xdr:colOff>
      <xdr:row>0</xdr:row>
      <xdr:rowOff>0</xdr:rowOff>
    </xdr:from>
    <xdr:to>
      <xdr:col>44</xdr:col>
      <xdr:colOff>209349</xdr:colOff>
      <xdr:row>6</xdr:row>
      <xdr:rowOff>79375</xdr:rowOff>
    </xdr:to>
    <xdr:sp macro="" textlink="">
      <xdr:nvSpPr>
        <xdr:cNvPr id="43" name="bgTitleTheme2"/>
        <xdr:cNvSpPr/>
      </xdr:nvSpPr>
      <xdr:spPr>
        <a:xfrm>
          <a:off x="31749" y="0"/>
          <a:ext cx="27000000" cy="1222375"/>
        </a:xfrm>
        <a:prstGeom prst="rect">
          <a:avLst/>
        </a:prstGeom>
        <a:gradFill>
          <a:gsLst>
            <a:gs pos="0">
              <a:srgbClr val="45214B"/>
            </a:gs>
            <a:gs pos="100000">
              <a:srgbClr val="AA5DB7"/>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9600"/>
        </a:p>
      </xdr:txBody>
    </xdr:sp>
    <xdr:clientData/>
  </xdr:twoCellAnchor>
  <xdr:twoCellAnchor>
    <xdr:from>
      <xdr:col>0</xdr:col>
      <xdr:colOff>31749</xdr:colOff>
      <xdr:row>0</xdr:row>
      <xdr:rowOff>15875</xdr:rowOff>
    </xdr:from>
    <xdr:to>
      <xdr:col>44</xdr:col>
      <xdr:colOff>209349</xdr:colOff>
      <xdr:row>6</xdr:row>
      <xdr:rowOff>95250</xdr:rowOff>
    </xdr:to>
    <xdr:sp macro="" textlink="">
      <xdr:nvSpPr>
        <xdr:cNvPr id="6" name="bgTitleTheme1" hidden="1"/>
        <xdr:cNvSpPr/>
      </xdr:nvSpPr>
      <xdr:spPr>
        <a:xfrm>
          <a:off x="31749" y="15875"/>
          <a:ext cx="27000000" cy="1222375"/>
        </a:xfrm>
        <a:prstGeom prst="rect">
          <a:avLst/>
        </a:prstGeom>
        <a:gradFill flip="none" rotWithShape="1">
          <a:gsLst>
            <a:gs pos="0">
              <a:srgbClr val="525252"/>
            </a:gs>
            <a:gs pos="100000">
              <a:schemeClr val="bg1">
                <a:lumMod val="6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9600"/>
        </a:p>
      </xdr:txBody>
    </xdr:sp>
    <xdr:clientData/>
  </xdr:twoCellAnchor>
  <xdr:twoCellAnchor>
    <xdr:from>
      <xdr:col>6</xdr:col>
      <xdr:colOff>493024</xdr:colOff>
      <xdr:row>7</xdr:row>
      <xdr:rowOff>154783</xdr:rowOff>
    </xdr:from>
    <xdr:to>
      <xdr:col>29</xdr:col>
      <xdr:colOff>285750</xdr:colOff>
      <xdr:row>50</xdr:row>
      <xdr:rowOff>119063</xdr:rowOff>
    </xdr:to>
    <xdr:sp macro="" textlink="">
      <xdr:nvSpPr>
        <xdr:cNvPr id="10" name="bgTheme1" hidden="1"/>
        <xdr:cNvSpPr/>
      </xdr:nvSpPr>
      <xdr:spPr>
        <a:xfrm>
          <a:off x="4150624" y="1488283"/>
          <a:ext cx="13813526" cy="8155780"/>
        </a:xfrm>
        <a:prstGeom prst="roundRect">
          <a:avLst>
            <a:gd name="adj" fmla="val 4586"/>
          </a:avLst>
        </a:prstGeom>
        <a:solidFill>
          <a:srgbClr val="3B3B3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202354</xdr:colOff>
      <xdr:row>9</xdr:row>
      <xdr:rowOff>3587</xdr:rowOff>
    </xdr:from>
    <xdr:to>
      <xdr:col>28</xdr:col>
      <xdr:colOff>607272</xdr:colOff>
      <xdr:row>49</xdr:row>
      <xdr:rowOff>120239</xdr:rowOff>
    </xdr:to>
    <xdr:grpSp>
      <xdr:nvGrpSpPr>
        <xdr:cNvPr id="17" name="bgGraphsTheme1" hidden="1"/>
        <xdr:cNvGrpSpPr/>
      </xdr:nvGrpSpPr>
      <xdr:grpSpPr>
        <a:xfrm>
          <a:off x="4469554" y="1718087"/>
          <a:ext cx="13206518" cy="7736652"/>
          <a:chOff x="4469554" y="1718087"/>
          <a:chExt cx="13206518" cy="7736652"/>
        </a:xfrm>
      </xdr:grpSpPr>
      <xdr:sp macro="" textlink="">
        <xdr:nvSpPr>
          <xdr:cNvPr id="11" name="bdGraph2" hidden="1"/>
          <xdr:cNvSpPr/>
        </xdr:nvSpPr>
        <xdr:spPr>
          <a:xfrm>
            <a:off x="11372850" y="1718087"/>
            <a:ext cx="6303222" cy="3717102"/>
          </a:xfrm>
          <a:prstGeom prst="roundRect">
            <a:avLst>
              <a:gd name="adj" fmla="val 5797"/>
            </a:avLst>
          </a:prstGeom>
          <a:solidFill>
            <a:srgbClr val="686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12" name="bdGraph4" hidden="1"/>
          <xdr:cNvSpPr/>
        </xdr:nvSpPr>
        <xdr:spPr>
          <a:xfrm>
            <a:off x="10153650" y="5737637"/>
            <a:ext cx="7522422" cy="3717102"/>
          </a:xfrm>
          <a:prstGeom prst="roundRect">
            <a:avLst>
              <a:gd name="adj" fmla="val 5797"/>
            </a:avLst>
          </a:prstGeom>
          <a:solidFill>
            <a:srgbClr val="686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13" name="bdGraph3" hidden="1"/>
          <xdr:cNvSpPr/>
        </xdr:nvSpPr>
        <xdr:spPr>
          <a:xfrm>
            <a:off x="4469554" y="5737637"/>
            <a:ext cx="5512646" cy="3717102"/>
          </a:xfrm>
          <a:prstGeom prst="roundRect">
            <a:avLst>
              <a:gd name="adj" fmla="val 5797"/>
            </a:avLst>
          </a:prstGeom>
          <a:solidFill>
            <a:srgbClr val="686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2" name="bdGraph1" hidden="1"/>
          <xdr:cNvSpPr/>
        </xdr:nvSpPr>
        <xdr:spPr>
          <a:xfrm>
            <a:off x="4507654" y="1718087"/>
            <a:ext cx="6712796" cy="3717102"/>
          </a:xfrm>
          <a:prstGeom prst="roundRect">
            <a:avLst>
              <a:gd name="adj" fmla="val 5797"/>
            </a:avLst>
          </a:prstGeom>
          <a:solidFill>
            <a:srgbClr val="686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grpSp>
    <xdr:clientData/>
  </xdr:twoCellAnchor>
  <xdr:twoCellAnchor>
    <xdr:from>
      <xdr:col>6</xdr:col>
      <xdr:colOff>476250</xdr:colOff>
      <xdr:row>7</xdr:row>
      <xdr:rowOff>152400</xdr:rowOff>
    </xdr:from>
    <xdr:to>
      <xdr:col>29</xdr:col>
      <xdr:colOff>268976</xdr:colOff>
      <xdr:row>50</xdr:row>
      <xdr:rowOff>116680</xdr:rowOff>
    </xdr:to>
    <xdr:sp macro="" textlink="">
      <xdr:nvSpPr>
        <xdr:cNvPr id="29" name="bgTheme2"/>
        <xdr:cNvSpPr/>
      </xdr:nvSpPr>
      <xdr:spPr>
        <a:xfrm>
          <a:off x="4095750" y="1485900"/>
          <a:ext cx="13667476" cy="8155780"/>
        </a:xfrm>
        <a:prstGeom prst="roundRect">
          <a:avLst>
            <a:gd name="adj" fmla="val 4586"/>
          </a:avLst>
        </a:prstGeom>
        <a:solidFill>
          <a:srgbClr val="4A235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185580</xdr:colOff>
      <xdr:row>9</xdr:row>
      <xdr:rowOff>1204</xdr:rowOff>
    </xdr:from>
    <xdr:to>
      <xdr:col>28</xdr:col>
      <xdr:colOff>590498</xdr:colOff>
      <xdr:row>49</xdr:row>
      <xdr:rowOff>117856</xdr:rowOff>
    </xdr:to>
    <xdr:grpSp>
      <xdr:nvGrpSpPr>
        <xdr:cNvPr id="30" name="bgGraphsTheme2"/>
        <xdr:cNvGrpSpPr/>
      </xdr:nvGrpSpPr>
      <xdr:grpSpPr>
        <a:xfrm>
          <a:off x="4452780" y="1715704"/>
          <a:ext cx="13206518" cy="7736652"/>
          <a:chOff x="4469554" y="1718087"/>
          <a:chExt cx="13206518" cy="7736652"/>
        </a:xfrm>
        <a:solidFill>
          <a:srgbClr val="90459D"/>
        </a:solidFill>
      </xdr:grpSpPr>
      <xdr:sp macro="" textlink="">
        <xdr:nvSpPr>
          <xdr:cNvPr id="31" name="bdGraph2"/>
          <xdr:cNvSpPr/>
        </xdr:nvSpPr>
        <xdr:spPr>
          <a:xfrm>
            <a:off x="11372850" y="1718087"/>
            <a:ext cx="6303222" cy="3717102"/>
          </a:xfrm>
          <a:prstGeom prst="roundRect">
            <a:avLst>
              <a:gd name="adj" fmla="val 579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a:solidFill>
                <a:schemeClr val="bg1"/>
              </a:solidFill>
            </a:endParaRPr>
          </a:p>
        </xdr:txBody>
      </xdr:sp>
      <xdr:sp macro="" textlink="">
        <xdr:nvSpPr>
          <xdr:cNvPr id="32" name="bdGraph4"/>
          <xdr:cNvSpPr/>
        </xdr:nvSpPr>
        <xdr:spPr>
          <a:xfrm>
            <a:off x="10153650" y="5737637"/>
            <a:ext cx="7522422" cy="3717102"/>
          </a:xfrm>
          <a:prstGeom prst="roundRect">
            <a:avLst>
              <a:gd name="adj" fmla="val 579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33" name="bdGraph3"/>
          <xdr:cNvSpPr/>
        </xdr:nvSpPr>
        <xdr:spPr>
          <a:xfrm>
            <a:off x="4469554" y="5737637"/>
            <a:ext cx="5512646" cy="3717102"/>
          </a:xfrm>
          <a:prstGeom prst="roundRect">
            <a:avLst>
              <a:gd name="adj" fmla="val 579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34" name="bdGraph1"/>
          <xdr:cNvSpPr/>
        </xdr:nvSpPr>
        <xdr:spPr>
          <a:xfrm>
            <a:off x="4507654" y="1718087"/>
            <a:ext cx="6712796" cy="3717102"/>
          </a:xfrm>
          <a:prstGeom prst="roundRect">
            <a:avLst>
              <a:gd name="adj" fmla="val 579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grpSp>
    <xdr:clientData/>
  </xdr:twoCellAnchor>
  <xdr:twoCellAnchor>
    <xdr:from>
      <xdr:col>6</xdr:col>
      <xdr:colOff>476250</xdr:colOff>
      <xdr:row>7</xdr:row>
      <xdr:rowOff>136525</xdr:rowOff>
    </xdr:from>
    <xdr:to>
      <xdr:col>29</xdr:col>
      <xdr:colOff>268976</xdr:colOff>
      <xdr:row>50</xdr:row>
      <xdr:rowOff>100805</xdr:rowOff>
    </xdr:to>
    <xdr:sp macro="" textlink="">
      <xdr:nvSpPr>
        <xdr:cNvPr id="35" name="bgTheme3" hidden="1"/>
        <xdr:cNvSpPr/>
      </xdr:nvSpPr>
      <xdr:spPr>
        <a:xfrm>
          <a:off x="4133850" y="1470025"/>
          <a:ext cx="13813526" cy="8155780"/>
        </a:xfrm>
        <a:prstGeom prst="roundRect">
          <a:avLst>
            <a:gd name="adj" fmla="val 4586"/>
          </a:avLst>
        </a:prstGeom>
        <a:solidFill>
          <a:srgbClr val="213B6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185580</xdr:colOff>
      <xdr:row>8</xdr:row>
      <xdr:rowOff>175829</xdr:rowOff>
    </xdr:from>
    <xdr:to>
      <xdr:col>28</xdr:col>
      <xdr:colOff>590498</xdr:colOff>
      <xdr:row>49</xdr:row>
      <xdr:rowOff>101981</xdr:rowOff>
    </xdr:to>
    <xdr:grpSp>
      <xdr:nvGrpSpPr>
        <xdr:cNvPr id="36" name="bgGraphsTheme3" hidden="1"/>
        <xdr:cNvGrpSpPr/>
      </xdr:nvGrpSpPr>
      <xdr:grpSpPr>
        <a:xfrm>
          <a:off x="4452780" y="1699829"/>
          <a:ext cx="13206518" cy="7736652"/>
          <a:chOff x="4469554" y="1718087"/>
          <a:chExt cx="13206518" cy="7736652"/>
        </a:xfrm>
        <a:solidFill>
          <a:schemeClr val="accent5">
            <a:lumMod val="75000"/>
          </a:schemeClr>
        </a:solidFill>
      </xdr:grpSpPr>
      <xdr:sp macro="" textlink="">
        <xdr:nvSpPr>
          <xdr:cNvPr id="37" name="bdGraph2" hidden="1"/>
          <xdr:cNvSpPr/>
        </xdr:nvSpPr>
        <xdr:spPr>
          <a:xfrm>
            <a:off x="11372850" y="1718087"/>
            <a:ext cx="6303222" cy="3717102"/>
          </a:xfrm>
          <a:prstGeom prst="roundRect">
            <a:avLst>
              <a:gd name="adj" fmla="val 579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38" name="bdGraph4" hidden="1"/>
          <xdr:cNvSpPr/>
        </xdr:nvSpPr>
        <xdr:spPr>
          <a:xfrm>
            <a:off x="10153650" y="5737637"/>
            <a:ext cx="7522422" cy="3717102"/>
          </a:xfrm>
          <a:prstGeom prst="roundRect">
            <a:avLst>
              <a:gd name="adj" fmla="val 579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39" name="bdGraph3" hidden="1"/>
          <xdr:cNvSpPr/>
        </xdr:nvSpPr>
        <xdr:spPr>
          <a:xfrm>
            <a:off x="4469554" y="5737637"/>
            <a:ext cx="5512646" cy="3717102"/>
          </a:xfrm>
          <a:prstGeom prst="roundRect">
            <a:avLst>
              <a:gd name="adj" fmla="val 579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a:solidFill>
                <a:schemeClr val="bg1"/>
              </a:solidFill>
            </a:endParaRPr>
          </a:p>
        </xdr:txBody>
      </xdr:sp>
      <xdr:sp macro="" textlink="">
        <xdr:nvSpPr>
          <xdr:cNvPr id="40" name="bdGraph1" hidden="1"/>
          <xdr:cNvSpPr/>
        </xdr:nvSpPr>
        <xdr:spPr>
          <a:xfrm>
            <a:off x="4507654" y="1718087"/>
            <a:ext cx="6712796" cy="3717102"/>
          </a:xfrm>
          <a:prstGeom prst="roundRect">
            <a:avLst>
              <a:gd name="adj" fmla="val 579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grpSp>
    <xdr:clientData/>
  </xdr:twoCellAnchor>
  <xdr:twoCellAnchor>
    <xdr:from>
      <xdr:col>7</xdr:col>
      <xdr:colOff>309563</xdr:colOff>
      <xdr:row>9</xdr:row>
      <xdr:rowOff>125392</xdr:rowOff>
    </xdr:from>
    <xdr:to>
      <xdr:col>28</xdr:col>
      <xdr:colOff>476250</xdr:colOff>
      <xdr:row>48</xdr:row>
      <xdr:rowOff>157163</xdr:rowOff>
    </xdr:to>
    <xdr:grpSp>
      <xdr:nvGrpSpPr>
        <xdr:cNvPr id="61" name="Agrupar 60"/>
        <xdr:cNvGrpSpPr/>
      </xdr:nvGrpSpPr>
      <xdr:grpSpPr>
        <a:xfrm>
          <a:off x="4576763" y="1839892"/>
          <a:ext cx="12968287" cy="7461271"/>
          <a:chOff x="4643438" y="1839892"/>
          <a:chExt cx="13168312" cy="7461271"/>
        </a:xfrm>
      </xdr:grpSpPr>
      <xdr:graphicFrame macro="">
        <xdr:nvGraphicFramePr>
          <xdr:cNvPr id="5" name="date"/>
          <xdr:cNvGraphicFramePr>
            <a:graphicFrameLocks/>
          </xdr:cNvGraphicFramePr>
        </xdr:nvGraphicFramePr>
        <xdr:xfrm>
          <a:off x="4643438" y="1839892"/>
          <a:ext cx="6529427" cy="34107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Gráfico 2"/>
          <xdr:cNvGraphicFramePr>
            <a:graphicFrameLocks/>
          </xdr:cNvGraphicFramePr>
        </xdr:nvGraphicFramePr>
        <xdr:xfrm>
          <a:off x="11773624" y="1876425"/>
          <a:ext cx="6000991" cy="3405188"/>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áfico 3"/>
          <xdr:cNvGraphicFramePr>
            <a:graphicFrameLocks/>
          </xdr:cNvGraphicFramePr>
        </xdr:nvGraphicFramePr>
        <xdr:xfrm>
          <a:off x="10472677" y="6024563"/>
          <a:ext cx="7339073" cy="3276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Gráfico 6"/>
          <xdr:cNvGraphicFramePr>
            <a:graphicFrameLocks/>
          </xdr:cNvGraphicFramePr>
        </xdr:nvGraphicFramePr>
        <xdr:xfrm>
          <a:off x="4657364" y="5982230"/>
          <a:ext cx="5295417" cy="3249083"/>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7</xdr:col>
      <xdr:colOff>44450</xdr:colOff>
      <xdr:row>0</xdr:row>
      <xdr:rowOff>59428</xdr:rowOff>
    </xdr:from>
    <xdr:to>
      <xdr:col>8</xdr:col>
      <xdr:colOff>508000</xdr:colOff>
      <xdr:row>5</xdr:row>
      <xdr:rowOff>181872</xdr:rowOff>
    </xdr:to>
    <xdr:sp macro="[0]!Dashboard.toggleOptions" textlink="">
      <xdr:nvSpPr>
        <xdr:cNvPr id="14" name="optionButton"/>
        <xdr:cNvSpPr/>
      </xdr:nvSpPr>
      <xdr:spPr>
        <a:xfrm>
          <a:off x="4267200" y="59428"/>
          <a:ext cx="1066800" cy="1074944"/>
        </a:xfrm>
        <a:prstGeom prst="donut">
          <a:avLst/>
        </a:prstGeom>
        <a:solidFill>
          <a:schemeClr val="bg1">
            <a:alpha val="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7</xdr:col>
      <xdr:colOff>3066</xdr:colOff>
      <xdr:row>8</xdr:row>
      <xdr:rowOff>102893</xdr:rowOff>
    </xdr:from>
    <xdr:to>
      <xdr:col>11</xdr:col>
      <xdr:colOff>442185</xdr:colOff>
      <xdr:row>22</xdr:row>
      <xdr:rowOff>19265</xdr:rowOff>
    </xdr:to>
    <xdr:sp macro="" textlink="">
      <xdr:nvSpPr>
        <xdr:cNvPr id="16" name="textBalloon" hidden="1"/>
        <xdr:cNvSpPr/>
      </xdr:nvSpPr>
      <xdr:spPr>
        <a:xfrm rot="10800000">
          <a:off x="4270266" y="1626893"/>
          <a:ext cx="2877519" cy="2583372"/>
        </a:xfrm>
        <a:prstGeom prst="wedgeRoundRectCallout">
          <a:avLst>
            <a:gd name="adj1" fmla="val 26465"/>
            <a:gd name="adj2" fmla="val 59118"/>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566904</xdr:colOff>
      <xdr:row>15</xdr:row>
      <xdr:rowOff>161210</xdr:rowOff>
    </xdr:from>
    <xdr:to>
      <xdr:col>10</xdr:col>
      <xdr:colOff>555996</xdr:colOff>
      <xdr:row>17</xdr:row>
      <xdr:rowOff>150694</xdr:rowOff>
    </xdr:to>
    <xdr:sp macro="" textlink="">
      <xdr:nvSpPr>
        <xdr:cNvPr id="18" name="textInformation" hidden="1"/>
        <xdr:cNvSpPr txBox="1"/>
      </xdr:nvSpPr>
      <xdr:spPr>
        <a:xfrm>
          <a:off x="4834104" y="3018710"/>
          <a:ext cx="1817892" cy="370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b="1"/>
            <a:t>Information</a:t>
          </a:r>
        </a:p>
      </xdr:txBody>
    </xdr:sp>
    <xdr:clientData/>
  </xdr:twoCellAnchor>
  <xdr:twoCellAnchor>
    <xdr:from>
      <xdr:col>7</xdr:col>
      <xdr:colOff>566904</xdr:colOff>
      <xdr:row>9</xdr:row>
      <xdr:rowOff>62589</xdr:rowOff>
    </xdr:from>
    <xdr:to>
      <xdr:col>10</xdr:col>
      <xdr:colOff>555996</xdr:colOff>
      <xdr:row>11</xdr:row>
      <xdr:rowOff>52073</xdr:rowOff>
    </xdr:to>
    <xdr:sp macro="" textlink="">
      <xdr:nvSpPr>
        <xdr:cNvPr id="19" name="textTheme" hidden="1"/>
        <xdr:cNvSpPr txBox="1"/>
      </xdr:nvSpPr>
      <xdr:spPr>
        <a:xfrm>
          <a:off x="4834104" y="1777089"/>
          <a:ext cx="1817892" cy="370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b="1"/>
            <a:t>Choose</a:t>
          </a:r>
          <a:r>
            <a:rPr lang="pt-BR" sz="1400" b="1" baseline="0"/>
            <a:t> a theme:</a:t>
          </a:r>
          <a:endParaRPr lang="pt-BR" sz="1400" b="1"/>
        </a:p>
      </xdr:txBody>
    </xdr:sp>
    <xdr:clientData/>
  </xdr:twoCellAnchor>
  <xdr:twoCellAnchor>
    <xdr:from>
      <xdr:col>7</xdr:col>
      <xdr:colOff>207214</xdr:colOff>
      <xdr:row>11</xdr:row>
      <xdr:rowOff>142190</xdr:rowOff>
    </xdr:from>
    <xdr:to>
      <xdr:col>8</xdr:col>
      <xdr:colOff>122567</xdr:colOff>
      <xdr:row>14</xdr:row>
      <xdr:rowOff>111396</xdr:rowOff>
    </xdr:to>
    <xdr:sp macro="[0]!Dashboard.toggleTheme1" textlink="">
      <xdr:nvSpPr>
        <xdr:cNvPr id="20" name="theme1" hidden="1"/>
        <xdr:cNvSpPr/>
      </xdr:nvSpPr>
      <xdr:spPr>
        <a:xfrm>
          <a:off x="4474414" y="2237690"/>
          <a:ext cx="524953" cy="540706"/>
        </a:xfrm>
        <a:prstGeom prst="ellipse">
          <a:avLst/>
        </a:prstGeom>
        <a:solidFill>
          <a:srgbClr val="7F7F7F">
            <a:alpha val="0"/>
          </a:srgbClr>
        </a:solidFill>
        <a:ln w="28575">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800" b="1">
              <a:solidFill>
                <a:srgbClr val="000000"/>
              </a:solidFill>
            </a:rPr>
            <a:t>1</a:t>
          </a:r>
        </a:p>
      </xdr:txBody>
    </xdr:sp>
    <xdr:clientData/>
  </xdr:twoCellAnchor>
  <xdr:twoCellAnchor>
    <xdr:from>
      <xdr:col>8</xdr:col>
      <xdr:colOff>564888</xdr:colOff>
      <xdr:row>11</xdr:row>
      <xdr:rowOff>142190</xdr:rowOff>
    </xdr:from>
    <xdr:to>
      <xdr:col>9</xdr:col>
      <xdr:colOff>480241</xdr:colOff>
      <xdr:row>14</xdr:row>
      <xdr:rowOff>111396</xdr:rowOff>
    </xdr:to>
    <xdr:sp macro="[0]!Dashboard.toggleTheme2" textlink="">
      <xdr:nvSpPr>
        <xdr:cNvPr id="21" name="theme2" hidden="1"/>
        <xdr:cNvSpPr/>
      </xdr:nvSpPr>
      <xdr:spPr>
        <a:xfrm>
          <a:off x="5441688" y="2237690"/>
          <a:ext cx="524953" cy="540706"/>
        </a:xfrm>
        <a:prstGeom prst="ellipse">
          <a:avLst/>
        </a:prstGeom>
        <a:solidFill>
          <a:srgbClr val="7D3C88"/>
        </a:solidFill>
        <a:ln w="28575">
          <a:solidFill>
            <a:srgbClr val="7D3C8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800" b="1">
              <a:solidFill>
                <a:srgbClr val="FFFFFF"/>
              </a:solidFill>
            </a:rPr>
            <a:t>2</a:t>
          </a:r>
        </a:p>
      </xdr:txBody>
    </xdr:sp>
    <xdr:clientData/>
  </xdr:twoCellAnchor>
  <xdr:twoCellAnchor>
    <xdr:from>
      <xdr:col>10</xdr:col>
      <xdr:colOff>312963</xdr:colOff>
      <xdr:row>11</xdr:row>
      <xdr:rowOff>142190</xdr:rowOff>
    </xdr:from>
    <xdr:to>
      <xdr:col>11</xdr:col>
      <xdr:colOff>228316</xdr:colOff>
      <xdr:row>14</xdr:row>
      <xdr:rowOff>111396</xdr:rowOff>
    </xdr:to>
    <xdr:sp macro="[0]!Dashboard.toggleTheme3" textlink="">
      <xdr:nvSpPr>
        <xdr:cNvPr id="22" name="theme3" hidden="1"/>
        <xdr:cNvSpPr/>
      </xdr:nvSpPr>
      <xdr:spPr>
        <a:xfrm>
          <a:off x="6408963" y="2237690"/>
          <a:ext cx="524953" cy="540706"/>
        </a:xfrm>
        <a:prstGeom prst="ellipse">
          <a:avLst/>
        </a:prstGeom>
        <a:solidFill>
          <a:srgbClr val="3C8A8C">
            <a:alpha val="0"/>
          </a:srgbClr>
        </a:solidFill>
        <a:ln w="28575">
          <a:solidFill>
            <a:srgbClr val="3C8A8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800" b="1">
              <a:solidFill>
                <a:srgbClr val="000000"/>
              </a:solidFill>
            </a:rPr>
            <a:t>3</a:t>
          </a:r>
        </a:p>
      </xdr:txBody>
    </xdr:sp>
    <xdr:clientData/>
  </xdr:twoCellAnchor>
  <xdr:twoCellAnchor>
    <xdr:from>
      <xdr:col>8</xdr:col>
      <xdr:colOff>491596</xdr:colOff>
      <xdr:row>18</xdr:row>
      <xdr:rowOff>180481</xdr:rowOff>
    </xdr:from>
    <xdr:to>
      <xdr:col>9</xdr:col>
      <xdr:colOff>567025</xdr:colOff>
      <xdr:row>20</xdr:row>
      <xdr:rowOff>129912</xdr:rowOff>
    </xdr:to>
    <xdr:sp macro="[0]!Dashboard.toggleInformationOption" textlink="">
      <xdr:nvSpPr>
        <xdr:cNvPr id="24" name="toggleBar" hidden="1"/>
        <xdr:cNvSpPr/>
      </xdr:nvSpPr>
      <xdr:spPr>
        <a:xfrm>
          <a:off x="5368396" y="3609481"/>
          <a:ext cx="685029" cy="330431"/>
        </a:xfrm>
        <a:prstGeom prst="roundRect">
          <a:avLst>
            <a:gd name="adj" fmla="val 50000"/>
          </a:avLst>
        </a:prstGeom>
        <a:solidFill>
          <a:srgbClr val="3EDE42"/>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245687</xdr:colOff>
      <xdr:row>18</xdr:row>
      <xdr:rowOff>170468</xdr:rowOff>
    </xdr:from>
    <xdr:to>
      <xdr:col>9</xdr:col>
      <xdr:colOff>556233</xdr:colOff>
      <xdr:row>20</xdr:row>
      <xdr:rowOff>129912</xdr:rowOff>
    </xdr:to>
    <xdr:sp macro="[0]!Dashboard.toggleInformationOption" textlink="">
      <xdr:nvSpPr>
        <xdr:cNvPr id="23" name="toggleCircle" hidden="1"/>
        <xdr:cNvSpPr/>
      </xdr:nvSpPr>
      <xdr:spPr>
        <a:xfrm>
          <a:off x="5732087" y="3599468"/>
          <a:ext cx="310546" cy="340444"/>
        </a:xfrm>
        <a:prstGeom prst="ellipse">
          <a:avLst/>
        </a:prstGeom>
        <a:solidFill>
          <a:srgbClr val="068406"/>
        </a:solidFill>
        <a:ln>
          <a:noFill/>
        </a:ln>
        <a:effectLst>
          <a:outerShdw blurRad="76200" dist="38100" dir="2700000" algn="tl"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10</xdr:col>
      <xdr:colOff>157421</xdr:colOff>
      <xdr:row>18</xdr:row>
      <xdr:rowOff>150442</xdr:rowOff>
    </xdr:from>
    <xdr:to>
      <xdr:col>11</xdr:col>
      <xdr:colOff>286643</xdr:colOff>
      <xdr:row>20</xdr:row>
      <xdr:rowOff>139926</xdr:rowOff>
    </xdr:to>
    <xdr:sp macro="" textlink="">
      <xdr:nvSpPr>
        <xdr:cNvPr id="25" name="toggleTxtBox" hidden="1"/>
        <xdr:cNvSpPr txBox="1"/>
      </xdr:nvSpPr>
      <xdr:spPr>
        <a:xfrm>
          <a:off x="6253421" y="3579442"/>
          <a:ext cx="738822" cy="370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b="1"/>
            <a:t>On</a:t>
          </a:r>
        </a:p>
      </xdr:txBody>
    </xdr:sp>
    <xdr:clientData/>
  </xdr:twoCellAnchor>
  <xdr:twoCellAnchor editAs="oneCell">
    <xdr:from>
      <xdr:col>12</xdr:col>
      <xdr:colOff>482600</xdr:colOff>
      <xdr:row>50</xdr:row>
      <xdr:rowOff>184944</xdr:rowOff>
    </xdr:from>
    <xdr:to>
      <xdr:col>17</xdr:col>
      <xdr:colOff>523875</xdr:colOff>
      <xdr:row>54</xdr:row>
      <xdr:rowOff>116417</xdr:rowOff>
    </xdr:to>
    <mc:AlternateContent xmlns:mc="http://schemas.openxmlformats.org/markup-compatibility/2006" xmlns:a14="http://schemas.microsoft.com/office/drawing/2010/main">
      <mc:Choice Requires="a14">
        <xdr:graphicFrame macro="">
          <xdr:nvGraphicFramePr>
            <xdr:cNvPr id="41"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797800" y="9709944"/>
              <a:ext cx="3089275" cy="693473"/>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18</xdr:col>
      <xdr:colOff>216957</xdr:colOff>
      <xdr:row>50</xdr:row>
      <xdr:rowOff>157692</xdr:rowOff>
    </xdr:from>
    <xdr:to>
      <xdr:col>24</xdr:col>
      <xdr:colOff>476248</xdr:colOff>
      <xdr:row>54</xdr:row>
      <xdr:rowOff>95250</xdr:rowOff>
    </xdr:to>
    <mc:AlternateContent xmlns:mc="http://schemas.openxmlformats.org/markup-compatibility/2006" xmlns:a14="http://schemas.microsoft.com/office/drawing/2010/main">
      <mc:Choice Requires="a14">
        <xdr:graphicFrame macro="">
          <xdr:nvGraphicFramePr>
            <xdr:cNvPr id="42"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189757" y="9682692"/>
              <a:ext cx="3916891" cy="69955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17</xdr:col>
      <xdr:colOff>238125</xdr:colOff>
      <xdr:row>9</xdr:row>
      <xdr:rowOff>95250</xdr:rowOff>
    </xdr:from>
    <xdr:to>
      <xdr:col>17</xdr:col>
      <xdr:colOff>555625</xdr:colOff>
      <xdr:row>11</xdr:row>
      <xdr:rowOff>31750</xdr:rowOff>
    </xdr:to>
    <xdr:sp macro="[0]!Dashboard.toggleInformationDate" textlink="">
      <xdr:nvSpPr>
        <xdr:cNvPr id="45" name="btnInformationDate"/>
        <xdr:cNvSpPr/>
      </xdr:nvSpPr>
      <xdr:spPr>
        <a:xfrm>
          <a:off x="10601325" y="1809750"/>
          <a:ext cx="317500" cy="317500"/>
        </a:xfrm>
        <a:prstGeom prst="ellipse">
          <a:avLst/>
        </a:prstGeom>
        <a:solidFill>
          <a:srgbClr val="FFC000">
            <a:alpha val="0"/>
          </a:srgb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3200"/>
            <a:t>i</a:t>
          </a:r>
        </a:p>
      </xdr:txBody>
    </xdr:sp>
    <xdr:clientData/>
  </xdr:twoCellAnchor>
  <xdr:twoCellAnchor>
    <xdr:from>
      <xdr:col>28</xdr:col>
      <xdr:colOff>0</xdr:colOff>
      <xdr:row>9</xdr:row>
      <xdr:rowOff>95250</xdr:rowOff>
    </xdr:from>
    <xdr:to>
      <xdr:col>28</xdr:col>
      <xdr:colOff>317500</xdr:colOff>
      <xdr:row>11</xdr:row>
      <xdr:rowOff>31750</xdr:rowOff>
    </xdr:to>
    <xdr:sp macro="[0]!Dashboard.toggleInformationProduct" textlink="">
      <xdr:nvSpPr>
        <xdr:cNvPr id="8" name="btnInformationProduct"/>
        <xdr:cNvSpPr/>
      </xdr:nvSpPr>
      <xdr:spPr>
        <a:xfrm>
          <a:off x="17068800" y="1809750"/>
          <a:ext cx="317500" cy="317500"/>
        </a:xfrm>
        <a:prstGeom prst="ellipse">
          <a:avLst/>
        </a:prstGeom>
        <a:solidFill>
          <a:srgbClr val="FFC000">
            <a:alpha val="0"/>
          </a:srgb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3200"/>
            <a:t>i</a:t>
          </a:r>
        </a:p>
      </xdr:txBody>
    </xdr:sp>
    <xdr:clientData/>
  </xdr:twoCellAnchor>
  <xdr:twoCellAnchor>
    <xdr:from>
      <xdr:col>15</xdr:col>
      <xdr:colOff>174625</xdr:colOff>
      <xdr:row>30</xdr:row>
      <xdr:rowOff>63500</xdr:rowOff>
    </xdr:from>
    <xdr:to>
      <xdr:col>15</xdr:col>
      <xdr:colOff>492125</xdr:colOff>
      <xdr:row>32</xdr:row>
      <xdr:rowOff>0</xdr:rowOff>
    </xdr:to>
    <xdr:sp macro="[0]!Dashboard.toggleInformationRegion" textlink="">
      <xdr:nvSpPr>
        <xdr:cNvPr id="46" name="btnInformationRegion"/>
        <xdr:cNvSpPr/>
      </xdr:nvSpPr>
      <xdr:spPr>
        <a:xfrm>
          <a:off x="9318625" y="5778500"/>
          <a:ext cx="317500" cy="317500"/>
        </a:xfrm>
        <a:prstGeom prst="ellipse">
          <a:avLst/>
        </a:prstGeom>
        <a:solidFill>
          <a:srgbClr val="FFC000">
            <a:alpha val="0"/>
          </a:srgb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3200"/>
            <a:t>i</a:t>
          </a:r>
        </a:p>
      </xdr:txBody>
    </xdr:sp>
    <xdr:clientData/>
  </xdr:twoCellAnchor>
  <xdr:twoCellAnchor>
    <xdr:from>
      <xdr:col>27</xdr:col>
      <xdr:colOff>571500</xdr:colOff>
      <xdr:row>30</xdr:row>
      <xdr:rowOff>63500</xdr:rowOff>
    </xdr:from>
    <xdr:to>
      <xdr:col>28</xdr:col>
      <xdr:colOff>285750</xdr:colOff>
      <xdr:row>32</xdr:row>
      <xdr:rowOff>0</xdr:rowOff>
    </xdr:to>
    <xdr:sp macro="[0]!Dashboard.toggleInformationVendor" textlink="">
      <xdr:nvSpPr>
        <xdr:cNvPr id="47" name="btnInformationVendor"/>
        <xdr:cNvSpPr/>
      </xdr:nvSpPr>
      <xdr:spPr>
        <a:xfrm>
          <a:off x="17030700" y="5778500"/>
          <a:ext cx="323850" cy="317500"/>
        </a:xfrm>
        <a:prstGeom prst="ellipse">
          <a:avLst/>
        </a:prstGeom>
        <a:solidFill>
          <a:srgbClr val="FFC000">
            <a:alpha val="0"/>
          </a:srgb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3200"/>
            <a:t>i</a:t>
          </a:r>
        </a:p>
      </xdr:txBody>
    </xdr:sp>
    <xdr:clientData/>
  </xdr:twoCellAnchor>
  <xdr:twoCellAnchor>
    <xdr:from>
      <xdr:col>14</xdr:col>
      <xdr:colOff>349250</xdr:colOff>
      <xdr:row>12</xdr:row>
      <xdr:rowOff>142875</xdr:rowOff>
    </xdr:from>
    <xdr:to>
      <xdr:col>17</xdr:col>
      <xdr:colOff>539750</xdr:colOff>
      <xdr:row>25</xdr:row>
      <xdr:rowOff>79375</xdr:rowOff>
    </xdr:to>
    <xdr:grpSp>
      <xdr:nvGrpSpPr>
        <xdr:cNvPr id="51" name="groupInformationDate" hidden="1"/>
        <xdr:cNvGrpSpPr/>
      </xdr:nvGrpSpPr>
      <xdr:grpSpPr>
        <a:xfrm>
          <a:off x="8883650" y="2428875"/>
          <a:ext cx="2019300" cy="2413000"/>
          <a:chOff x="8883650" y="2428875"/>
          <a:chExt cx="2019300" cy="2413000"/>
        </a:xfrm>
      </xdr:grpSpPr>
      <xdr:sp macro="" textlink="">
        <xdr:nvSpPr>
          <xdr:cNvPr id="15" name="textBalloonInformationDate" hidden="1"/>
          <xdr:cNvSpPr/>
        </xdr:nvSpPr>
        <xdr:spPr>
          <a:xfrm rot="10800000">
            <a:off x="8883650" y="2428875"/>
            <a:ext cx="2019300" cy="2413000"/>
          </a:xfrm>
          <a:prstGeom prst="wedgeRoundRectCallout">
            <a:avLst>
              <a:gd name="adj1" fmla="val -32738"/>
              <a:gd name="adj2" fmla="val 60526"/>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ysClr val="windowText" lastClr="000000"/>
              </a:solidFill>
            </a:endParaRPr>
          </a:p>
        </xdr:txBody>
      </xdr:sp>
      <xdr:sp macro="" textlink="">
        <xdr:nvSpPr>
          <xdr:cNvPr id="28" name="textInformationDate" hidden="1"/>
          <xdr:cNvSpPr txBox="1"/>
        </xdr:nvSpPr>
        <xdr:spPr>
          <a:xfrm>
            <a:off x="9022556" y="2619375"/>
            <a:ext cx="1745456" cy="2083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800"/>
              <a:t>Revenue total</a:t>
            </a:r>
            <a:r>
              <a:rPr lang="pt-BR" sz="2800" baseline="0"/>
              <a:t> X Date per days</a:t>
            </a:r>
            <a:endParaRPr lang="pt-BR" sz="2800"/>
          </a:p>
        </xdr:txBody>
      </xdr:sp>
    </xdr:grpSp>
    <xdr:clientData/>
  </xdr:twoCellAnchor>
  <xdr:twoCellAnchor>
    <xdr:from>
      <xdr:col>25</xdr:col>
      <xdr:colOff>63500</xdr:colOff>
      <xdr:row>12</xdr:row>
      <xdr:rowOff>142875</xdr:rowOff>
    </xdr:from>
    <xdr:to>
      <xdr:col>28</xdr:col>
      <xdr:colOff>254000</xdr:colOff>
      <xdr:row>25</xdr:row>
      <xdr:rowOff>79375</xdr:rowOff>
    </xdr:to>
    <xdr:grpSp>
      <xdr:nvGrpSpPr>
        <xdr:cNvPr id="55" name="groupInformationProduct" hidden="1"/>
        <xdr:cNvGrpSpPr/>
      </xdr:nvGrpSpPr>
      <xdr:grpSpPr>
        <a:xfrm>
          <a:off x="15303500" y="2428875"/>
          <a:ext cx="2019300" cy="2413000"/>
          <a:chOff x="15303500" y="2428875"/>
          <a:chExt cx="2019300" cy="2413000"/>
        </a:xfrm>
      </xdr:grpSpPr>
      <xdr:sp macro="" textlink="">
        <xdr:nvSpPr>
          <xdr:cNvPr id="48" name="textBalloonInformationProduct" hidden="1"/>
          <xdr:cNvSpPr/>
        </xdr:nvSpPr>
        <xdr:spPr>
          <a:xfrm rot="10800000">
            <a:off x="15303500" y="2428875"/>
            <a:ext cx="2019300" cy="2413000"/>
          </a:xfrm>
          <a:prstGeom prst="wedgeRoundRectCallout">
            <a:avLst>
              <a:gd name="adj1" fmla="val -32738"/>
              <a:gd name="adj2" fmla="val 60526"/>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52" name="textInformationProduct" hidden="1"/>
          <xdr:cNvSpPr txBox="1"/>
        </xdr:nvSpPr>
        <xdr:spPr>
          <a:xfrm>
            <a:off x="15487650" y="2647950"/>
            <a:ext cx="1600200" cy="1924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800"/>
              <a:t>Revenue per Product</a:t>
            </a:r>
          </a:p>
        </xdr:txBody>
      </xdr:sp>
    </xdr:grpSp>
    <xdr:clientData/>
  </xdr:twoCellAnchor>
  <xdr:twoCellAnchor>
    <xdr:from>
      <xdr:col>12</xdr:col>
      <xdr:colOff>238125</xdr:colOff>
      <xdr:row>33</xdr:row>
      <xdr:rowOff>127000</xdr:rowOff>
    </xdr:from>
    <xdr:to>
      <xdr:col>15</xdr:col>
      <xdr:colOff>428625</xdr:colOff>
      <xdr:row>46</xdr:row>
      <xdr:rowOff>63500</xdr:rowOff>
    </xdr:to>
    <xdr:grpSp>
      <xdr:nvGrpSpPr>
        <xdr:cNvPr id="56" name="groupInformationRegion" hidden="1"/>
        <xdr:cNvGrpSpPr/>
      </xdr:nvGrpSpPr>
      <xdr:grpSpPr>
        <a:xfrm>
          <a:off x="7553325" y="6413500"/>
          <a:ext cx="2019300" cy="2413000"/>
          <a:chOff x="7553325" y="6413500"/>
          <a:chExt cx="2019300" cy="2413000"/>
        </a:xfrm>
      </xdr:grpSpPr>
      <xdr:sp macro="" textlink="">
        <xdr:nvSpPr>
          <xdr:cNvPr id="49" name="textBalloonInformationRegion" hidden="1"/>
          <xdr:cNvSpPr/>
        </xdr:nvSpPr>
        <xdr:spPr>
          <a:xfrm rot="10800000">
            <a:off x="7553325" y="6413500"/>
            <a:ext cx="2019300" cy="2413000"/>
          </a:xfrm>
          <a:prstGeom prst="wedgeRoundRectCallout">
            <a:avLst>
              <a:gd name="adj1" fmla="val -32738"/>
              <a:gd name="adj2" fmla="val 60526"/>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53" name="textInformationRegion" hidden="1"/>
          <xdr:cNvSpPr txBox="1"/>
        </xdr:nvSpPr>
        <xdr:spPr>
          <a:xfrm>
            <a:off x="7734300" y="6572250"/>
            <a:ext cx="1600200" cy="1924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800"/>
              <a:t>Revenue per Region</a:t>
            </a:r>
          </a:p>
        </xdr:txBody>
      </xdr:sp>
    </xdr:grpSp>
    <xdr:clientData/>
  </xdr:twoCellAnchor>
  <xdr:twoCellAnchor>
    <xdr:from>
      <xdr:col>25</xdr:col>
      <xdr:colOff>15875</xdr:colOff>
      <xdr:row>33</xdr:row>
      <xdr:rowOff>127000</xdr:rowOff>
    </xdr:from>
    <xdr:to>
      <xdr:col>28</xdr:col>
      <xdr:colOff>206375</xdr:colOff>
      <xdr:row>46</xdr:row>
      <xdr:rowOff>63500</xdr:rowOff>
    </xdr:to>
    <xdr:grpSp>
      <xdr:nvGrpSpPr>
        <xdr:cNvPr id="57" name="groupInformationVendor" hidden="1"/>
        <xdr:cNvGrpSpPr/>
      </xdr:nvGrpSpPr>
      <xdr:grpSpPr>
        <a:xfrm>
          <a:off x="15255875" y="6413500"/>
          <a:ext cx="2019300" cy="2413000"/>
          <a:chOff x="15255875" y="6413500"/>
          <a:chExt cx="2019300" cy="2413000"/>
        </a:xfrm>
      </xdr:grpSpPr>
      <xdr:sp macro="" textlink="">
        <xdr:nvSpPr>
          <xdr:cNvPr id="50" name="textBalloonInformationVendor" hidden="1"/>
          <xdr:cNvSpPr/>
        </xdr:nvSpPr>
        <xdr:spPr>
          <a:xfrm rot="10800000">
            <a:off x="15255875" y="6413500"/>
            <a:ext cx="2019300" cy="2413000"/>
          </a:xfrm>
          <a:prstGeom prst="wedgeRoundRectCallout">
            <a:avLst>
              <a:gd name="adj1" fmla="val -32738"/>
              <a:gd name="adj2" fmla="val 60526"/>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54" name="textInformationVendor" hidden="1"/>
          <xdr:cNvSpPr txBox="1"/>
        </xdr:nvSpPr>
        <xdr:spPr>
          <a:xfrm>
            <a:off x="15468600" y="6572250"/>
            <a:ext cx="1600200" cy="1924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800"/>
              <a:t>Revenue per Vendor</a:t>
            </a:r>
          </a:p>
        </xdr:txBody>
      </xdr:sp>
    </xdr:grpSp>
    <xdr:clientData/>
  </xdr:twoCellAnchor>
  <xdr:twoCellAnchor>
    <xdr:from>
      <xdr:col>9</xdr:col>
      <xdr:colOff>438150</xdr:colOff>
      <xdr:row>0</xdr:row>
      <xdr:rowOff>133350</xdr:rowOff>
    </xdr:from>
    <xdr:to>
      <xdr:col>28</xdr:col>
      <xdr:colOff>57150</xdr:colOff>
      <xdr:row>5</xdr:row>
      <xdr:rowOff>171450</xdr:rowOff>
    </xdr:to>
    <xdr:sp macro="" textlink="">
      <xdr:nvSpPr>
        <xdr:cNvPr id="64" name="CaixaDeTexto 63"/>
        <xdr:cNvSpPr txBox="1"/>
      </xdr:nvSpPr>
      <xdr:spPr>
        <a:xfrm>
          <a:off x="5924550" y="133350"/>
          <a:ext cx="11201400" cy="99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pt-BR" sz="9600" b="1">
              <a:solidFill>
                <a:schemeClr val="bg1"/>
              </a:solidFill>
              <a:effectLst/>
              <a:latin typeface="+mn-lt"/>
              <a:ea typeface="+mn-ea"/>
              <a:cs typeface="+mn-cs"/>
            </a:rPr>
            <a:t>DASHBOARD</a:t>
          </a:r>
          <a:endParaRPr lang="pt-BR" sz="9600" b="1">
            <a:solidFill>
              <a:schemeClr val="bg1"/>
            </a:solidFill>
            <a:effectLst/>
          </a:endParaRPr>
        </a:p>
        <a:p>
          <a:pPr algn="ctr"/>
          <a:endParaRPr lang="pt-BR" sz="9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9</xdr:row>
      <xdr:rowOff>0</xdr:rowOff>
    </xdr:from>
    <xdr:to>
      <xdr:col>13</xdr:col>
      <xdr:colOff>304800</xdr:colOff>
      <xdr:row>23</xdr:row>
      <xdr:rowOff>76200</xdr:rowOff>
    </xdr:to>
    <xdr:graphicFrame macro="">
      <xdr:nvGraphicFramePr>
        <xdr:cNvPr id="6" name="productAnalys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609600</xdr:colOff>
      <xdr:row>6</xdr:row>
      <xdr:rowOff>180975</xdr:rowOff>
    </xdr:from>
    <xdr:to>
      <xdr:col>5</xdr:col>
      <xdr:colOff>228600</xdr:colOff>
      <xdr:row>21</xdr:row>
      <xdr:rowOff>66675</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280987</xdr:colOff>
      <xdr:row>12</xdr:row>
      <xdr:rowOff>114300</xdr:rowOff>
    </xdr:from>
    <xdr:to>
      <xdr:col>6</xdr:col>
      <xdr:colOff>80962</xdr:colOff>
      <xdr:row>27</xdr:row>
      <xdr:rowOff>0</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333375</xdr:colOff>
      <xdr:row>3</xdr:row>
      <xdr:rowOff>171450</xdr:rowOff>
    </xdr:from>
    <xdr:to>
      <xdr:col>7</xdr:col>
      <xdr:colOff>333375</xdr:colOff>
      <xdr:row>17</xdr:row>
      <xdr:rowOff>28575</xdr:rowOff>
    </xdr:to>
    <mc:AlternateContent xmlns:mc="http://schemas.openxmlformats.org/markup-compatibility/2006" xmlns:a14="http://schemas.microsoft.com/office/drawing/2010/main">
      <mc:Choice Requires="a14">
        <xdr:graphicFrame macro="">
          <xdr:nvGraphicFramePr>
            <xdr:cNvPr id="8" name="Product 3"/>
            <xdr:cNvGraphicFramePr/>
          </xdr:nvGraphicFramePr>
          <xdr:xfrm>
            <a:off x="0" y="0"/>
            <a:ext cx="0" cy="0"/>
          </xdr:xfrm>
          <a:graphic>
            <a:graphicData uri="http://schemas.microsoft.com/office/drawing/2010/slicer">
              <sle:slicer xmlns:sle="http://schemas.microsoft.com/office/drawing/2010/slicer" name="Product 3"/>
            </a:graphicData>
          </a:graphic>
        </xdr:graphicFrame>
      </mc:Choice>
      <mc:Fallback xmlns="">
        <xdr:sp macro="" textlink="">
          <xdr:nvSpPr>
            <xdr:cNvPr id="0" name=""/>
            <xdr:cNvSpPr>
              <a:spLocks noTextEdit="1"/>
            </xdr:cNvSpPr>
          </xdr:nvSpPr>
          <xdr:spPr>
            <a:xfrm>
              <a:off x="3886200" y="742950"/>
              <a:ext cx="1828800"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5</xdr:col>
      <xdr:colOff>200025</xdr:colOff>
      <xdr:row>6</xdr:row>
      <xdr:rowOff>76200</xdr:rowOff>
    </xdr:from>
    <xdr:to>
      <xdr:col>8</xdr:col>
      <xdr:colOff>200025</xdr:colOff>
      <xdr:row>19</xdr:row>
      <xdr:rowOff>123825</xdr:rowOff>
    </xdr:to>
    <mc:AlternateContent xmlns:mc="http://schemas.openxmlformats.org/markup-compatibility/2006" xmlns:a14="http://schemas.microsoft.com/office/drawing/2010/main">
      <mc:Choice Requires="a14">
        <xdr:graphicFrame macro="">
          <xdr:nvGraphicFramePr>
            <xdr:cNvPr id="9"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362450" y="1219200"/>
              <a:ext cx="1828800"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476249</xdr:colOff>
      <xdr:row>10</xdr:row>
      <xdr:rowOff>95250</xdr:rowOff>
    </xdr:from>
    <xdr:to>
      <xdr:col>5</xdr:col>
      <xdr:colOff>1428749</xdr:colOff>
      <xdr:row>24</xdr:row>
      <xdr:rowOff>171450</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733425</xdr:colOff>
      <xdr:row>5</xdr:row>
      <xdr:rowOff>28575</xdr:rowOff>
    </xdr:from>
    <xdr:to>
      <xdr:col>5</xdr:col>
      <xdr:colOff>1066800</xdr:colOff>
      <xdr:row>18</xdr:row>
      <xdr:rowOff>76200</xdr:rowOff>
    </xdr:to>
    <mc:AlternateContent xmlns:mc="http://schemas.openxmlformats.org/markup-compatibility/2006" xmlns:a14="http://schemas.microsoft.com/office/drawing/2010/main">
      <mc:Choice Requires="a14">
        <xdr:graphicFrame macro="">
          <xdr:nvGraphicFramePr>
            <xdr:cNvPr id="2" name="Product 1"/>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4124325" y="981075"/>
              <a:ext cx="1828800"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Usuário do Windows" refreshedDate="45371.578113888892" createdVersion="6" refreshedVersion="6" minRefreshableVersion="3" recordCount="20">
  <cacheSource type="worksheet">
    <worksheetSource ref="A1:I21" sheet="Table"/>
  </cacheSource>
  <cacheFields count="9">
    <cacheField name="Date" numFmtId="14">
      <sharedItems containsSemiMixedTypes="0" containsNonDate="0" containsDate="1" containsString="0" minDate="2024-01-01T00:00:00" maxDate="2024-01-11T00:00:00" count="10">
        <d v="2024-01-01T00:00:00"/>
        <d v="2024-01-02T00:00:00"/>
        <d v="2024-01-03T00:00:00"/>
        <d v="2024-01-04T00:00:00"/>
        <d v="2024-01-05T00:00:00"/>
        <d v="2024-01-06T00:00:00"/>
        <d v="2024-01-07T00:00:00"/>
        <d v="2024-01-08T00:00:00"/>
        <d v="2024-01-09T00:00:00"/>
        <d v="2024-01-10T00:00:00"/>
      </sharedItems>
    </cacheField>
    <cacheField name="Product" numFmtId="0">
      <sharedItems count="2">
        <s v="Product A"/>
        <s v="Product B"/>
      </sharedItems>
    </cacheField>
    <cacheField name="Quantity" numFmtId="0">
      <sharedItems containsSemiMixedTypes="0" containsString="0" containsNumber="1" containsInteger="1" minValue="20" maxValue="62"/>
    </cacheField>
    <cacheField name="Revenue" numFmtId="165">
      <sharedItems containsSemiMixedTypes="0" containsString="0" containsNumber="1" containsInteger="1" minValue="2000" maxValue="6200"/>
    </cacheField>
    <cacheField name="ClientID" numFmtId="0">
      <sharedItems containsSemiMixedTypes="0" containsString="0" containsNumber="1" containsInteger="1" minValue="101" maxValue="120"/>
    </cacheField>
    <cacheField name="ClientName" numFmtId="0">
      <sharedItems/>
    </cacheField>
    <cacheField name="Region" numFmtId="0">
      <sharedItems count="4">
        <s v="North"/>
        <s v="South"/>
        <s v="East"/>
        <s v="West"/>
      </sharedItems>
    </cacheField>
    <cacheField name="VendorID" numFmtId="0">
      <sharedItems containsSemiMixedTypes="0" containsString="0" containsNumber="1" containsInteger="1" minValue="201" maxValue="206"/>
    </cacheField>
    <cacheField name="VendorName" numFmtId="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Usuário do Windows" refreshedDate="45371.578115625001" createdVersion="6" refreshedVersion="6" minRefreshableVersion="3" recordCount="4">
  <cacheSource type="worksheet">
    <worksheetSource ref="E5:F9" sheet="Region Analysis"/>
  </cacheSource>
  <cacheFields count="2">
    <cacheField name="East" numFmtId="0">
      <sharedItems/>
    </cacheField>
    <cacheField name=" R$ 26.900,00 " numFmtId="164">
      <sharedItems containsSemiMixedTypes="0" containsString="0" containsNumber="1" containsInteger="1" minValue="14400" maxValue="82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Usuário do Windows" refreshedDate="45371.578116087963" createdVersion="6" refreshedVersion="6" minRefreshableVersion="3" recordCount="20">
  <cacheSource type="worksheet">
    <worksheetSource name="pivotTableWork"/>
  </cacheSource>
  <cacheFields count="9">
    <cacheField name="Date" numFmtId="14">
      <sharedItems containsSemiMixedTypes="0" containsNonDate="0" containsDate="1" containsString="0" minDate="2024-01-01T00:00:00" maxDate="2024-01-11T00:00:00"/>
    </cacheField>
    <cacheField name="Product" numFmtId="0">
      <sharedItems count="2">
        <s v="Product A"/>
        <s v="Product B"/>
      </sharedItems>
    </cacheField>
    <cacheField name="Quantity" numFmtId="0">
      <sharedItems containsSemiMixedTypes="0" containsString="0" containsNumber="1" containsInteger="1" minValue="20" maxValue="62"/>
    </cacheField>
    <cacheField name="Revenue" numFmtId="165">
      <sharedItems containsSemiMixedTypes="0" containsString="0" containsNumber="1" containsInteger="1" minValue="2000" maxValue="6200"/>
    </cacheField>
    <cacheField name="ClientID" numFmtId="0">
      <sharedItems containsSemiMixedTypes="0" containsString="0" containsNumber="1" containsInteger="1" minValue="101" maxValue="120"/>
    </cacheField>
    <cacheField name="ClientName" numFmtId="0">
      <sharedItems/>
    </cacheField>
    <cacheField name="Region" numFmtId="0">
      <sharedItems count="4">
        <s v="North"/>
        <s v="South"/>
        <s v="East"/>
        <s v="West"/>
      </sharedItems>
    </cacheField>
    <cacheField name="VendorID" numFmtId="0">
      <sharedItems containsSemiMixedTypes="0" containsString="0" containsNumber="1" containsInteger="1" minValue="201" maxValue="206"/>
    </cacheField>
    <cacheField name="VendorName" numFmtId="0">
      <sharedItems count="6">
        <s v="VendorX"/>
        <s v="VendorY"/>
        <s v="VendorZ"/>
        <s v="VendorW"/>
        <s v="VendorU"/>
        <s v="VendorT"/>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20">
  <r>
    <x v="0"/>
    <x v="0"/>
    <n v="50"/>
    <n v="5000"/>
    <n v="101"/>
    <s v="ABC Inc"/>
    <x v="0"/>
    <n v="201"/>
    <s v="VendorX"/>
  </r>
  <r>
    <x v="0"/>
    <x v="1"/>
    <n v="30"/>
    <n v="3000"/>
    <n v="102"/>
    <s v="XYZ Corp"/>
    <x v="1"/>
    <n v="202"/>
    <s v="VendorY"/>
  </r>
  <r>
    <x v="1"/>
    <x v="0"/>
    <n v="45"/>
    <n v="4500"/>
    <n v="103"/>
    <s v="LMN Ltd"/>
    <x v="2"/>
    <n v="203"/>
    <s v="VendorZ"/>
  </r>
  <r>
    <x v="1"/>
    <x v="1"/>
    <n v="25"/>
    <n v="2500"/>
    <n v="104"/>
    <s v="PQR Co"/>
    <x v="3"/>
    <n v="201"/>
    <s v="VendorX"/>
  </r>
  <r>
    <x v="2"/>
    <x v="0"/>
    <n v="60"/>
    <n v="6000"/>
    <n v="105"/>
    <s v="JKL Industries"/>
    <x v="0"/>
    <n v="204"/>
    <s v="VendorW"/>
  </r>
  <r>
    <x v="2"/>
    <x v="1"/>
    <n v="35"/>
    <n v="3500"/>
    <n v="106"/>
    <s v="UVW Enterprises"/>
    <x v="1"/>
    <n v="202"/>
    <s v="VendorY"/>
  </r>
  <r>
    <x v="3"/>
    <x v="0"/>
    <n v="55"/>
    <n v="5500"/>
    <n v="107"/>
    <s v="DEF Limited"/>
    <x v="2"/>
    <n v="205"/>
    <s v="VendorU"/>
  </r>
  <r>
    <x v="3"/>
    <x v="1"/>
    <n v="28"/>
    <n v="2800"/>
    <n v="108"/>
    <s v="GHI Corporation"/>
    <x v="3"/>
    <n v="201"/>
    <s v="VendorX"/>
  </r>
  <r>
    <x v="4"/>
    <x v="0"/>
    <n v="48"/>
    <n v="4800"/>
    <n v="109"/>
    <s v="MNO Group"/>
    <x v="0"/>
    <n v="206"/>
    <s v="VendorT"/>
  </r>
  <r>
    <x v="4"/>
    <x v="1"/>
    <n v="32"/>
    <n v="3200"/>
    <n v="110"/>
    <s v="RST Inc"/>
    <x v="1"/>
    <n v="202"/>
    <s v="VendorY"/>
  </r>
  <r>
    <x v="5"/>
    <x v="0"/>
    <n v="52"/>
    <n v="5200"/>
    <n v="111"/>
    <s v="LMN Ltd"/>
    <x v="2"/>
    <n v="203"/>
    <s v="VendorZ"/>
  </r>
  <r>
    <x v="5"/>
    <x v="1"/>
    <n v="30"/>
    <n v="3000"/>
    <n v="112"/>
    <s v="PQR Co"/>
    <x v="3"/>
    <n v="201"/>
    <s v="VendorX"/>
  </r>
  <r>
    <x v="6"/>
    <x v="0"/>
    <n v="58"/>
    <n v="5800"/>
    <n v="113"/>
    <s v="ABC Inc"/>
    <x v="0"/>
    <n v="204"/>
    <s v="VendorW"/>
  </r>
  <r>
    <x v="6"/>
    <x v="1"/>
    <n v="34"/>
    <n v="3400"/>
    <n v="114"/>
    <s v="XYZ Corp"/>
    <x v="1"/>
    <n v="202"/>
    <s v="VendorY"/>
  </r>
  <r>
    <x v="7"/>
    <x v="0"/>
    <n v="62"/>
    <n v="6200"/>
    <n v="115"/>
    <s v="GHI Corporation"/>
    <x v="2"/>
    <n v="205"/>
    <s v="VendorU"/>
  </r>
  <r>
    <x v="7"/>
    <x v="1"/>
    <n v="36"/>
    <n v="3600"/>
    <n v="116"/>
    <s v="UVW Enterprises"/>
    <x v="3"/>
    <n v="201"/>
    <s v="VendorX"/>
  </r>
  <r>
    <x v="8"/>
    <x v="0"/>
    <n v="40"/>
    <n v="4000"/>
    <n v="117"/>
    <s v="RST Inc"/>
    <x v="0"/>
    <n v="206"/>
    <s v="VendorT"/>
  </r>
  <r>
    <x v="8"/>
    <x v="1"/>
    <n v="20"/>
    <n v="2000"/>
    <n v="118"/>
    <s v="MNO Group"/>
    <x v="1"/>
    <n v="202"/>
    <s v="VendorY"/>
  </r>
  <r>
    <x v="9"/>
    <x v="0"/>
    <n v="55"/>
    <n v="5500"/>
    <n v="119"/>
    <s v="DEF Limited"/>
    <x v="2"/>
    <n v="203"/>
    <s v="VendorZ"/>
  </r>
  <r>
    <x v="9"/>
    <x v="1"/>
    <n v="25"/>
    <n v="2500"/>
    <n v="120"/>
    <s v="JKL Industries"/>
    <x v="3"/>
    <n v="201"/>
    <s v="VendorX"/>
  </r>
</pivotCacheRecords>
</file>

<file path=xl/pivotCache/pivotCacheRecords2.xml><?xml version="1.0" encoding="utf-8"?>
<pivotCacheRecords xmlns="http://schemas.openxmlformats.org/spreadsheetml/2006/main" xmlns:r="http://schemas.openxmlformats.org/officeDocument/2006/relationships" count="4">
  <r>
    <s v="North"/>
    <n v="25600"/>
  </r>
  <r>
    <s v="South"/>
    <n v="15100"/>
  </r>
  <r>
    <s v="West"/>
    <n v="14400"/>
  </r>
  <r>
    <s v="Total Geral"/>
    <n v="82000"/>
  </r>
</pivotCacheRecords>
</file>

<file path=xl/pivotCache/pivotCacheRecords3.xml><?xml version="1.0" encoding="utf-8"?>
<pivotCacheRecords xmlns="http://schemas.openxmlformats.org/spreadsheetml/2006/main" xmlns:r="http://schemas.openxmlformats.org/officeDocument/2006/relationships" count="20">
  <r>
    <d v="2024-01-01T00:00:00"/>
    <x v="0"/>
    <n v="50"/>
    <n v="5000"/>
    <n v="101"/>
    <s v="ABC Inc"/>
    <x v="0"/>
    <n v="201"/>
    <x v="0"/>
  </r>
  <r>
    <d v="2024-01-01T00:00:00"/>
    <x v="1"/>
    <n v="30"/>
    <n v="3000"/>
    <n v="102"/>
    <s v="XYZ Corp"/>
    <x v="1"/>
    <n v="202"/>
    <x v="1"/>
  </r>
  <r>
    <d v="2024-01-02T00:00:00"/>
    <x v="0"/>
    <n v="45"/>
    <n v="4500"/>
    <n v="103"/>
    <s v="LMN Ltd"/>
    <x v="2"/>
    <n v="203"/>
    <x v="2"/>
  </r>
  <r>
    <d v="2024-01-02T00:00:00"/>
    <x v="1"/>
    <n v="25"/>
    <n v="2500"/>
    <n v="104"/>
    <s v="PQR Co"/>
    <x v="3"/>
    <n v="201"/>
    <x v="0"/>
  </r>
  <r>
    <d v="2024-01-03T00:00:00"/>
    <x v="0"/>
    <n v="60"/>
    <n v="6000"/>
    <n v="105"/>
    <s v="JKL Industries"/>
    <x v="0"/>
    <n v="204"/>
    <x v="3"/>
  </r>
  <r>
    <d v="2024-01-03T00:00:00"/>
    <x v="1"/>
    <n v="35"/>
    <n v="3500"/>
    <n v="106"/>
    <s v="UVW Enterprises"/>
    <x v="1"/>
    <n v="202"/>
    <x v="1"/>
  </r>
  <r>
    <d v="2024-01-04T00:00:00"/>
    <x v="0"/>
    <n v="55"/>
    <n v="5500"/>
    <n v="107"/>
    <s v="DEF Limited"/>
    <x v="2"/>
    <n v="205"/>
    <x v="4"/>
  </r>
  <r>
    <d v="2024-01-04T00:00:00"/>
    <x v="1"/>
    <n v="28"/>
    <n v="2800"/>
    <n v="108"/>
    <s v="GHI Corporation"/>
    <x v="3"/>
    <n v="201"/>
    <x v="0"/>
  </r>
  <r>
    <d v="2024-01-05T00:00:00"/>
    <x v="0"/>
    <n v="48"/>
    <n v="4800"/>
    <n v="109"/>
    <s v="MNO Group"/>
    <x v="0"/>
    <n v="206"/>
    <x v="5"/>
  </r>
  <r>
    <d v="2024-01-05T00:00:00"/>
    <x v="1"/>
    <n v="32"/>
    <n v="3200"/>
    <n v="110"/>
    <s v="RST Inc"/>
    <x v="1"/>
    <n v="202"/>
    <x v="1"/>
  </r>
  <r>
    <d v="2024-01-06T00:00:00"/>
    <x v="0"/>
    <n v="52"/>
    <n v="5200"/>
    <n v="111"/>
    <s v="LMN Ltd"/>
    <x v="2"/>
    <n v="203"/>
    <x v="2"/>
  </r>
  <r>
    <d v="2024-01-06T00:00:00"/>
    <x v="1"/>
    <n v="30"/>
    <n v="3000"/>
    <n v="112"/>
    <s v="PQR Co"/>
    <x v="3"/>
    <n v="201"/>
    <x v="0"/>
  </r>
  <r>
    <d v="2024-01-07T00:00:00"/>
    <x v="0"/>
    <n v="58"/>
    <n v="5800"/>
    <n v="113"/>
    <s v="ABC Inc"/>
    <x v="0"/>
    <n v="204"/>
    <x v="3"/>
  </r>
  <r>
    <d v="2024-01-07T00:00:00"/>
    <x v="1"/>
    <n v="34"/>
    <n v="3400"/>
    <n v="114"/>
    <s v="XYZ Corp"/>
    <x v="1"/>
    <n v="202"/>
    <x v="1"/>
  </r>
  <r>
    <d v="2024-01-08T00:00:00"/>
    <x v="0"/>
    <n v="62"/>
    <n v="6200"/>
    <n v="115"/>
    <s v="GHI Corporation"/>
    <x v="2"/>
    <n v="205"/>
    <x v="4"/>
  </r>
  <r>
    <d v="2024-01-08T00:00:00"/>
    <x v="1"/>
    <n v="36"/>
    <n v="3600"/>
    <n v="116"/>
    <s v="UVW Enterprises"/>
    <x v="3"/>
    <n v="201"/>
    <x v="0"/>
  </r>
  <r>
    <d v="2024-01-09T00:00:00"/>
    <x v="0"/>
    <n v="40"/>
    <n v="4000"/>
    <n v="117"/>
    <s v="RST Inc"/>
    <x v="0"/>
    <n v="206"/>
    <x v="5"/>
  </r>
  <r>
    <d v="2024-01-09T00:00:00"/>
    <x v="1"/>
    <n v="20"/>
    <n v="2000"/>
    <n v="118"/>
    <s v="MNO Group"/>
    <x v="1"/>
    <n v="202"/>
    <x v="1"/>
  </r>
  <r>
    <d v="2024-01-10T00:00:00"/>
    <x v="0"/>
    <n v="55"/>
    <n v="5500"/>
    <n v="119"/>
    <s v="DEF Limited"/>
    <x v="2"/>
    <n v="203"/>
    <x v="2"/>
  </r>
  <r>
    <d v="2024-01-10T00:00:00"/>
    <x v="1"/>
    <n v="25"/>
    <n v="2500"/>
    <n v="120"/>
    <s v="JKL Industries"/>
    <x v="3"/>
    <n v="20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5">
  <location ref="A3:C6" firstHeaderRow="0" firstDataRow="1" firstDataCol="1"/>
  <pivotFields count="9">
    <pivotField numFmtId="14" showAll="0"/>
    <pivotField axis="axisRow" showAll="0">
      <items count="3">
        <item x="0"/>
        <item x="1"/>
        <item t="default"/>
      </items>
    </pivotField>
    <pivotField dataField="1" showAll="0"/>
    <pivotField dataField="1" showAll="0"/>
    <pivotField showAll="0"/>
    <pivotField showAll="0"/>
    <pivotField showAll="0">
      <items count="5">
        <item x="2"/>
        <item x="0"/>
        <item x="1"/>
        <item x="3"/>
        <item t="default"/>
      </items>
    </pivotField>
    <pivotField showAll="0"/>
    <pivotField showAll="0"/>
  </pivotFields>
  <rowFields count="1">
    <field x="1"/>
  </rowFields>
  <rowItems count="3">
    <i>
      <x/>
    </i>
    <i>
      <x v="1"/>
    </i>
    <i t="grand">
      <x/>
    </i>
  </rowItems>
  <colFields count="1">
    <field x="-2"/>
  </colFields>
  <colItems count="2">
    <i>
      <x/>
    </i>
    <i i="1">
      <x v="1"/>
    </i>
  </colItems>
  <dataFields count="2">
    <dataField name="Soma de Quantity" fld="2" baseField="0" baseItem="0"/>
    <dataField name="Soma de Revenue" fld="3" baseField="0" baseItem="0" numFmtId="164"/>
  </dataFields>
  <formats count="1">
    <format dxfId="2">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ela dinâmica3"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0">
  <location ref="A3:B10" firstHeaderRow="1" firstDataRow="1" firstDataCol="1"/>
  <pivotFields count="9">
    <pivotField numFmtId="14" showAll="0"/>
    <pivotField showAll="0">
      <items count="3">
        <item x="0"/>
        <item x="1"/>
        <item t="default"/>
      </items>
    </pivotField>
    <pivotField showAll="0"/>
    <pivotField dataField="1" numFmtId="164" showAll="0"/>
    <pivotField showAll="0"/>
    <pivotField showAll="0"/>
    <pivotField showAll="0">
      <items count="5">
        <item x="2"/>
        <item x="0"/>
        <item x="1"/>
        <item x="3"/>
        <item t="default"/>
      </items>
    </pivotField>
    <pivotField showAll="0"/>
    <pivotField axis="axisRow" showAll="0">
      <items count="7">
        <item x="5"/>
        <item x="4"/>
        <item x="3"/>
        <item x="0"/>
        <item x="1"/>
        <item x="2"/>
        <item t="default"/>
      </items>
    </pivotField>
  </pivotFields>
  <rowFields count="1">
    <field x="8"/>
  </rowFields>
  <rowItems count="7">
    <i>
      <x/>
    </i>
    <i>
      <x v="1"/>
    </i>
    <i>
      <x v="2"/>
    </i>
    <i>
      <x v="3"/>
    </i>
    <i>
      <x v="4"/>
    </i>
    <i>
      <x v="5"/>
    </i>
    <i t="grand">
      <x/>
    </i>
  </rowItems>
  <colItems count="1">
    <i/>
  </colItems>
  <dataFields count="1">
    <dataField name="Soma de Revenue" fld="3" baseField="0" baseItem="0" numFmtId="164"/>
  </dataFields>
  <chartFormats count="3">
    <chartFormat chart="0" format="1"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ela dinâmica6"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E15:G32" firstHeaderRow="1" firstDataRow="1" firstDataCol="0"/>
  <pivotFields count="2">
    <pivotField showAll="0"/>
    <pivotField numFmtId="164"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ela dinâmica3"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5">
  <location ref="A3:D9" firstHeaderRow="1" firstDataRow="2" firstDataCol="1"/>
  <pivotFields count="9">
    <pivotField numFmtId="14" showAll="0"/>
    <pivotField axis="axisCol" showAll="0">
      <items count="3">
        <item x="0"/>
        <item x="1"/>
        <item t="default"/>
      </items>
    </pivotField>
    <pivotField showAll="0"/>
    <pivotField dataField="1" showAll="0"/>
    <pivotField showAll="0"/>
    <pivotField showAll="0"/>
    <pivotField axis="axisRow" showAll="0">
      <items count="5">
        <item x="2"/>
        <item x="0"/>
        <item x="1"/>
        <item x="3"/>
        <item t="default"/>
      </items>
    </pivotField>
    <pivotField showAll="0"/>
    <pivotField showAll="0"/>
  </pivotFields>
  <rowFields count="1">
    <field x="6"/>
  </rowFields>
  <rowItems count="5">
    <i>
      <x/>
    </i>
    <i>
      <x v="1"/>
    </i>
    <i>
      <x v="2"/>
    </i>
    <i>
      <x v="3"/>
    </i>
    <i t="grand">
      <x/>
    </i>
  </rowItems>
  <colFields count="1">
    <field x="1"/>
  </colFields>
  <colItems count="3">
    <i>
      <x/>
    </i>
    <i>
      <x v="1"/>
    </i>
    <i t="grand">
      <x/>
    </i>
  </colItems>
  <dataFields count="1">
    <dataField name="Soma de Revenue" fld="3" baseField="0" baseItem="0" numFmtId="164"/>
  </dataFields>
  <formats count="1">
    <format dxfId="1">
      <pivotArea outline="0" collapsedLevelsAreSubtotals="1" fieldPosition="0"/>
    </format>
  </formats>
  <chartFormats count="14">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1"/>
          </reference>
        </references>
      </pivotArea>
    </chartFormat>
    <chartFormat chart="3" format="0" series="1">
      <pivotArea type="data" outline="0" fieldPosition="0">
        <references count="2">
          <reference field="4294967294" count="1" selected="0">
            <x v="0"/>
          </reference>
          <reference field="1" count="1" selected="0">
            <x v="0"/>
          </reference>
        </references>
      </pivotArea>
    </chartFormat>
    <chartFormat chart="3" format="1" series="1">
      <pivotArea type="data" outline="0" fieldPosition="0">
        <references count="2">
          <reference field="4294967294" count="1" selected="0">
            <x v="0"/>
          </reference>
          <reference field="1" count="1" selected="0">
            <x v="1"/>
          </reference>
        </references>
      </pivotArea>
    </chartFormat>
    <chartFormat chart="10" format="0" series="1">
      <pivotArea type="data" outline="0" fieldPosition="0">
        <references count="2">
          <reference field="4294967294" count="1" selected="0">
            <x v="0"/>
          </reference>
          <reference field="1" count="1" selected="0">
            <x v="0"/>
          </reference>
        </references>
      </pivotArea>
    </chartFormat>
    <chartFormat chart="10" format="1" series="1">
      <pivotArea type="data" outline="0" fieldPosition="0">
        <references count="2">
          <reference field="4294967294" count="1" selected="0">
            <x v="0"/>
          </reference>
          <reference field="1" count="1" selected="0">
            <x v="1"/>
          </reference>
        </references>
      </pivotArea>
    </chartFormat>
    <chartFormat chart="12" format="4" series="1">
      <pivotArea type="data" outline="0" fieldPosition="0">
        <references count="2">
          <reference field="4294967294" count="1" selected="0">
            <x v="0"/>
          </reference>
          <reference field="1" count="1" selected="0">
            <x v="0"/>
          </reference>
        </references>
      </pivotArea>
    </chartFormat>
    <chartFormat chart="12" format="5" series="1">
      <pivotArea type="data" outline="0" fieldPosition="0">
        <references count="2">
          <reference field="4294967294" count="1" selected="0">
            <x v="0"/>
          </reference>
          <reference field="1" count="1" selected="0">
            <x v="1"/>
          </reference>
        </references>
      </pivotArea>
    </chartFormat>
    <chartFormat chart="14" format="8" series="1">
      <pivotArea type="data" outline="0" fieldPosition="0">
        <references count="2">
          <reference field="4294967294" count="1" selected="0">
            <x v="0"/>
          </reference>
          <reference field="1" count="1" selected="0">
            <x v="0"/>
          </reference>
        </references>
      </pivotArea>
    </chartFormat>
    <chartFormat chart="14" format="9" series="1">
      <pivotArea type="data" outline="0" fieldPosition="0">
        <references count="2">
          <reference field="4294967294" count="1" selected="0">
            <x v="0"/>
          </reference>
          <reference field="1" count="1" selected="0">
            <x v="1"/>
          </reference>
        </references>
      </pivotArea>
    </chartFormat>
    <chartFormat chart="12" format="6" series="1">
      <pivotArea type="data" outline="0" fieldPosition="0">
        <references count="1">
          <reference field="4294967294" count="1" selected="0">
            <x v="0"/>
          </reference>
        </references>
      </pivotArea>
    </chartFormat>
    <chartFormat chart="14"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ela dinâmica5"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location ref="A3:B14" firstHeaderRow="1" firstDataRow="1" firstDataCol="1"/>
  <pivotFields count="9">
    <pivotField axis="axisRow" numFmtId="14" showAll="0">
      <items count="11">
        <item x="0"/>
        <item x="1"/>
        <item x="2"/>
        <item x="3"/>
        <item x="4"/>
        <item x="5"/>
        <item x="6"/>
        <item x="7"/>
        <item x="8"/>
        <item x="9"/>
        <item t="default"/>
      </items>
    </pivotField>
    <pivotField showAll="0">
      <items count="3">
        <item x="0"/>
        <item x="1"/>
        <item t="default"/>
      </items>
    </pivotField>
    <pivotField showAll="0"/>
    <pivotField dataField="1" numFmtId="164" showAll="0"/>
    <pivotField showAll="0"/>
    <pivotField showAll="0"/>
    <pivotField showAll="0">
      <items count="5">
        <item x="2"/>
        <item x="0"/>
        <item x="1"/>
        <item x="3"/>
        <item t="default"/>
      </items>
    </pivotField>
    <pivotField showAll="0"/>
    <pivotField showAll="0"/>
  </pivotFields>
  <rowFields count="1">
    <field x="0"/>
  </rowFields>
  <rowItems count="11">
    <i>
      <x/>
    </i>
    <i>
      <x v="1"/>
    </i>
    <i>
      <x v="2"/>
    </i>
    <i>
      <x v="3"/>
    </i>
    <i>
      <x v="4"/>
    </i>
    <i>
      <x v="5"/>
    </i>
    <i>
      <x v="6"/>
    </i>
    <i>
      <x v="7"/>
    </i>
    <i>
      <x v="8"/>
    </i>
    <i>
      <x v="9"/>
    </i>
    <i t="grand">
      <x/>
    </i>
  </rowItems>
  <colItems count="1">
    <i/>
  </colItems>
  <dataFields count="1">
    <dataField name="Soma de Revenue" fld="3" baseField="0" baseItem="0" numFmtId="164"/>
  </dataFields>
  <formats count="1">
    <format dxfId="0">
      <pivotArea outline="0" collapsedLevelsAreSubtotals="1" fieldPosition="0"/>
    </format>
  </formats>
  <chartFormats count="1">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Region1" sourceName="Region">
  <pivotTables>
    <pivotTable tabId="7" name="Tabela dinâmica5"/>
    <pivotTable tabId="6" name="Tabela dinâmica3"/>
  </pivotTables>
  <data>
    <tabular pivotCacheId="1">
      <items count="4">
        <i x="2" s="1"/>
        <i x="0"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Product" sourceName="Product">
  <pivotTables>
    <pivotTable tabId="6" name="Tabela dinâmica3"/>
    <pivotTable tabId="7" name="Tabela dinâmica5"/>
  </pivotTables>
  <data>
    <tabular pivotCacheId="1">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oduct2" sourceName="Product">
  <pivotTables>
    <pivotTable tabId="10" name="Tabela dinâmica3"/>
  </pivotTables>
  <data>
    <tabular pivotCacheId="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Region" sourceName="Region">
  <pivotTables>
    <pivotTable tabId="10" name="Tabela dinâmica3"/>
    <pivotTable tabId="4" name="Tabela dinâmica1"/>
  </pivotTables>
  <data>
    <tabular pivotCacheId="3">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egmentaçãodeDados_Region1" caption="Region" columnCount="4" style="SlicerStyleDark1 2" rowHeight="241300"/>
  <slicer name="Product" cache="SegmentaçãodeDados_Product" caption="Product" columnCount="2" style="SlicerStyleDark1 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duct 3" cache="SegmentaçãodeDados_Product2" caption="Product" rowHeight="241300"/>
  <slicer name="Region" cache="SegmentaçãodeDados_Region" caption="Region"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duct 1" cache="SegmentaçãodeDados_Product" caption="Product"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
  <dimension ref="A1:Q28"/>
  <sheetViews>
    <sheetView workbookViewId="0">
      <selection activeCell="F20" sqref="F20"/>
    </sheetView>
  </sheetViews>
  <sheetFormatPr defaultRowHeight="15" x14ac:dyDescent="0.25"/>
  <cols>
    <col min="1" max="1" width="10.7109375" bestFit="1" customWidth="1"/>
    <col min="4" max="4" width="12.140625" style="24" bestFit="1" customWidth="1"/>
    <col min="6" max="6" width="16" bestFit="1" customWidth="1"/>
    <col min="8" max="8" width="11.7109375" bestFit="1" customWidth="1"/>
    <col min="9" max="9" width="15.140625" bestFit="1" customWidth="1"/>
    <col min="10" max="10" width="13.28515625" bestFit="1" customWidth="1"/>
    <col min="17" max="17" width="9.140625" customWidth="1"/>
  </cols>
  <sheetData>
    <row r="1" spans="1:17" x14ac:dyDescent="0.25">
      <c r="A1" t="s">
        <v>0</v>
      </c>
      <c r="B1" t="s">
        <v>1</v>
      </c>
      <c r="C1" t="s">
        <v>2</v>
      </c>
      <c r="D1" t="s">
        <v>3</v>
      </c>
      <c r="E1" t="s">
        <v>4</v>
      </c>
      <c r="F1" t="s">
        <v>5</v>
      </c>
      <c r="G1" t="s">
        <v>6</v>
      </c>
      <c r="H1" t="s">
        <v>7</v>
      </c>
      <c r="I1" t="s">
        <v>8</v>
      </c>
      <c r="Q1" t="s">
        <v>43</v>
      </c>
    </row>
    <row r="2" spans="1:17" x14ac:dyDescent="0.25">
      <c r="A2" s="1">
        <v>45292</v>
      </c>
      <c r="B2" t="s">
        <v>9</v>
      </c>
      <c r="C2">
        <v>50</v>
      </c>
      <c r="D2" s="24">
        <v>5000</v>
      </c>
      <c r="E2">
        <v>101</v>
      </c>
      <c r="F2" t="s">
        <v>10</v>
      </c>
      <c r="G2" t="s">
        <v>11</v>
      </c>
      <c r="H2">
        <v>201</v>
      </c>
      <c r="I2" t="s">
        <v>12</v>
      </c>
      <c r="Q2" t="s">
        <v>11</v>
      </c>
    </row>
    <row r="3" spans="1:17" x14ac:dyDescent="0.25">
      <c r="A3" s="1">
        <v>45292</v>
      </c>
      <c r="B3" t="s">
        <v>13</v>
      </c>
      <c r="C3">
        <v>30</v>
      </c>
      <c r="D3" s="24">
        <v>3000</v>
      </c>
      <c r="E3">
        <v>102</v>
      </c>
      <c r="F3" t="s">
        <v>14</v>
      </c>
      <c r="G3" t="s">
        <v>15</v>
      </c>
      <c r="H3">
        <v>202</v>
      </c>
      <c r="I3" t="s">
        <v>16</v>
      </c>
      <c r="Q3" t="s">
        <v>15</v>
      </c>
    </row>
    <row r="4" spans="1:17" x14ac:dyDescent="0.25">
      <c r="A4" s="1">
        <v>45293</v>
      </c>
      <c r="B4" t="s">
        <v>9</v>
      </c>
      <c r="C4">
        <v>45</v>
      </c>
      <c r="D4" s="24">
        <v>4500</v>
      </c>
      <c r="E4">
        <v>103</v>
      </c>
      <c r="F4" t="s">
        <v>17</v>
      </c>
      <c r="G4" t="s">
        <v>18</v>
      </c>
      <c r="H4">
        <v>203</v>
      </c>
      <c r="I4" t="s">
        <v>19</v>
      </c>
      <c r="Q4" t="s">
        <v>18</v>
      </c>
    </row>
    <row r="5" spans="1:17" x14ac:dyDescent="0.25">
      <c r="A5" s="1">
        <v>45293</v>
      </c>
      <c r="B5" t="s">
        <v>13</v>
      </c>
      <c r="C5">
        <v>25</v>
      </c>
      <c r="D5" s="24">
        <v>2500</v>
      </c>
      <c r="E5">
        <v>104</v>
      </c>
      <c r="F5" t="s">
        <v>20</v>
      </c>
      <c r="G5" t="s">
        <v>21</v>
      </c>
      <c r="H5">
        <v>201</v>
      </c>
      <c r="I5" t="s">
        <v>12</v>
      </c>
      <c r="Q5" t="s">
        <v>21</v>
      </c>
    </row>
    <row r="6" spans="1:17" x14ac:dyDescent="0.25">
      <c r="A6" s="1">
        <v>45294</v>
      </c>
      <c r="B6" t="s">
        <v>9</v>
      </c>
      <c r="C6">
        <v>60</v>
      </c>
      <c r="D6" s="24">
        <v>6000</v>
      </c>
      <c r="E6">
        <v>105</v>
      </c>
      <c r="F6" t="s">
        <v>22</v>
      </c>
      <c r="G6" t="s">
        <v>11</v>
      </c>
      <c r="H6">
        <v>204</v>
      </c>
      <c r="I6" t="s">
        <v>23</v>
      </c>
    </row>
    <row r="7" spans="1:17" x14ac:dyDescent="0.25">
      <c r="A7" s="1">
        <v>45294</v>
      </c>
      <c r="B7" t="s">
        <v>13</v>
      </c>
      <c r="C7">
        <v>35</v>
      </c>
      <c r="D7" s="24">
        <v>3500</v>
      </c>
      <c r="E7">
        <v>106</v>
      </c>
      <c r="F7" t="s">
        <v>24</v>
      </c>
      <c r="G7" t="s">
        <v>15</v>
      </c>
      <c r="H7">
        <v>202</v>
      </c>
      <c r="I7" t="s">
        <v>16</v>
      </c>
    </row>
    <row r="8" spans="1:17" x14ac:dyDescent="0.25">
      <c r="A8" s="1">
        <v>45295</v>
      </c>
      <c r="B8" t="s">
        <v>9</v>
      </c>
      <c r="C8">
        <v>55</v>
      </c>
      <c r="D8" s="24">
        <v>5500</v>
      </c>
      <c r="E8">
        <v>107</v>
      </c>
      <c r="F8" t="s">
        <v>25</v>
      </c>
      <c r="G8" t="s">
        <v>18</v>
      </c>
      <c r="H8">
        <v>205</v>
      </c>
      <c r="I8" t="s">
        <v>26</v>
      </c>
    </row>
    <row r="9" spans="1:17" x14ac:dyDescent="0.25">
      <c r="A9" s="1">
        <v>45295</v>
      </c>
      <c r="B9" t="s">
        <v>13</v>
      </c>
      <c r="C9">
        <v>28</v>
      </c>
      <c r="D9" s="24">
        <v>2800</v>
      </c>
      <c r="E9">
        <v>108</v>
      </c>
      <c r="F9" t="s">
        <v>27</v>
      </c>
      <c r="G9" t="s">
        <v>21</v>
      </c>
      <c r="H9">
        <v>201</v>
      </c>
      <c r="I9" t="s">
        <v>12</v>
      </c>
    </row>
    <row r="10" spans="1:17" x14ac:dyDescent="0.25">
      <c r="A10" s="1">
        <v>45296</v>
      </c>
      <c r="B10" t="s">
        <v>9</v>
      </c>
      <c r="C10">
        <v>48</v>
      </c>
      <c r="D10" s="24">
        <v>4800</v>
      </c>
      <c r="E10">
        <v>109</v>
      </c>
      <c r="F10" t="s">
        <v>28</v>
      </c>
      <c r="G10" t="s">
        <v>11</v>
      </c>
      <c r="H10">
        <v>206</v>
      </c>
      <c r="I10" t="s">
        <v>29</v>
      </c>
    </row>
    <row r="11" spans="1:17" x14ac:dyDescent="0.25">
      <c r="A11" s="1">
        <v>45296</v>
      </c>
      <c r="B11" t="s">
        <v>13</v>
      </c>
      <c r="C11">
        <v>32</v>
      </c>
      <c r="D11" s="24">
        <v>3200</v>
      </c>
      <c r="E11">
        <v>110</v>
      </c>
      <c r="F11" t="s">
        <v>30</v>
      </c>
      <c r="G11" t="s">
        <v>15</v>
      </c>
      <c r="H11">
        <v>202</v>
      </c>
      <c r="I11" t="s">
        <v>16</v>
      </c>
    </row>
    <row r="12" spans="1:17" x14ac:dyDescent="0.25">
      <c r="A12" s="1">
        <v>45297</v>
      </c>
      <c r="B12" t="s">
        <v>9</v>
      </c>
      <c r="C12">
        <v>52</v>
      </c>
      <c r="D12" s="24">
        <v>5200</v>
      </c>
      <c r="E12">
        <v>111</v>
      </c>
      <c r="F12" t="s">
        <v>17</v>
      </c>
      <c r="G12" t="s">
        <v>18</v>
      </c>
      <c r="H12">
        <v>203</v>
      </c>
      <c r="I12" t="s">
        <v>19</v>
      </c>
    </row>
    <row r="13" spans="1:17" x14ac:dyDescent="0.25">
      <c r="A13" s="1">
        <v>45297</v>
      </c>
      <c r="B13" t="s">
        <v>13</v>
      </c>
      <c r="C13">
        <v>30</v>
      </c>
      <c r="D13" s="24">
        <v>3000</v>
      </c>
      <c r="E13">
        <v>112</v>
      </c>
      <c r="F13" t="s">
        <v>20</v>
      </c>
      <c r="G13" t="s">
        <v>21</v>
      </c>
      <c r="H13">
        <v>201</v>
      </c>
      <c r="I13" t="s">
        <v>12</v>
      </c>
    </row>
    <row r="14" spans="1:17" x14ac:dyDescent="0.25">
      <c r="A14" s="1">
        <v>45298</v>
      </c>
      <c r="B14" t="s">
        <v>9</v>
      </c>
      <c r="C14">
        <v>58</v>
      </c>
      <c r="D14" s="24">
        <v>5800</v>
      </c>
      <c r="E14">
        <v>113</v>
      </c>
      <c r="F14" t="s">
        <v>10</v>
      </c>
      <c r="G14" t="s">
        <v>11</v>
      </c>
      <c r="H14">
        <v>204</v>
      </c>
      <c r="I14" t="s">
        <v>23</v>
      </c>
    </row>
    <row r="15" spans="1:17" x14ac:dyDescent="0.25">
      <c r="A15" s="1">
        <v>45298</v>
      </c>
      <c r="B15" t="s">
        <v>13</v>
      </c>
      <c r="C15">
        <v>34</v>
      </c>
      <c r="D15" s="24">
        <v>3400</v>
      </c>
      <c r="E15">
        <v>114</v>
      </c>
      <c r="F15" t="s">
        <v>14</v>
      </c>
      <c r="G15" t="s">
        <v>15</v>
      </c>
      <c r="H15">
        <v>202</v>
      </c>
      <c r="I15" t="s">
        <v>16</v>
      </c>
    </row>
    <row r="16" spans="1:17" x14ac:dyDescent="0.25">
      <c r="A16" s="1">
        <v>45299</v>
      </c>
      <c r="B16" t="s">
        <v>9</v>
      </c>
      <c r="C16">
        <v>62</v>
      </c>
      <c r="D16" s="24">
        <v>6200</v>
      </c>
      <c r="E16">
        <v>115</v>
      </c>
      <c r="F16" t="s">
        <v>27</v>
      </c>
      <c r="G16" t="s">
        <v>18</v>
      </c>
      <c r="H16">
        <v>205</v>
      </c>
      <c r="I16" t="s">
        <v>26</v>
      </c>
    </row>
    <row r="17" spans="1:10" x14ac:dyDescent="0.25">
      <c r="A17" s="1">
        <v>45299</v>
      </c>
      <c r="B17" t="s">
        <v>13</v>
      </c>
      <c r="C17">
        <v>36</v>
      </c>
      <c r="D17" s="24">
        <v>3600</v>
      </c>
      <c r="E17">
        <v>116</v>
      </c>
      <c r="F17" t="s">
        <v>24</v>
      </c>
      <c r="G17" t="s">
        <v>21</v>
      </c>
      <c r="H17">
        <v>201</v>
      </c>
      <c r="I17" t="s">
        <v>12</v>
      </c>
    </row>
    <row r="18" spans="1:10" x14ac:dyDescent="0.25">
      <c r="A18" s="1">
        <v>45300</v>
      </c>
      <c r="B18" t="s">
        <v>9</v>
      </c>
      <c r="C18">
        <v>40</v>
      </c>
      <c r="D18" s="24">
        <v>4000</v>
      </c>
      <c r="E18">
        <v>117</v>
      </c>
      <c r="F18" t="s">
        <v>30</v>
      </c>
      <c r="G18" t="s">
        <v>11</v>
      </c>
      <c r="H18">
        <v>206</v>
      </c>
      <c r="I18" t="s">
        <v>29</v>
      </c>
    </row>
    <row r="19" spans="1:10" x14ac:dyDescent="0.25">
      <c r="A19" s="1">
        <v>45300</v>
      </c>
      <c r="B19" t="s">
        <v>13</v>
      </c>
      <c r="C19">
        <v>20</v>
      </c>
      <c r="D19" s="24">
        <v>2000</v>
      </c>
      <c r="E19">
        <v>118</v>
      </c>
      <c r="F19" t="s">
        <v>28</v>
      </c>
      <c r="G19" t="s">
        <v>15</v>
      </c>
      <c r="H19">
        <v>202</v>
      </c>
      <c r="I19" t="s">
        <v>16</v>
      </c>
    </row>
    <row r="20" spans="1:10" x14ac:dyDescent="0.25">
      <c r="A20" s="1">
        <v>45301</v>
      </c>
      <c r="B20" t="s">
        <v>9</v>
      </c>
      <c r="C20">
        <v>55</v>
      </c>
      <c r="D20" s="24">
        <v>5500</v>
      </c>
      <c r="E20">
        <v>119</v>
      </c>
      <c r="F20" t="s">
        <v>25</v>
      </c>
      <c r="G20" t="s">
        <v>18</v>
      </c>
      <c r="H20">
        <v>203</v>
      </c>
      <c r="I20" t="s">
        <v>19</v>
      </c>
      <c r="J20" s="6"/>
    </row>
    <row r="21" spans="1:10" x14ac:dyDescent="0.25">
      <c r="A21" s="1">
        <v>45301</v>
      </c>
      <c r="B21" t="s">
        <v>13</v>
      </c>
      <c r="C21">
        <v>25</v>
      </c>
      <c r="D21" s="24">
        <v>2500</v>
      </c>
      <c r="E21">
        <v>120</v>
      </c>
      <c r="F21" t="s">
        <v>22</v>
      </c>
      <c r="G21" t="s">
        <v>21</v>
      </c>
      <c r="H21">
        <v>201</v>
      </c>
      <c r="I21" t="s">
        <v>12</v>
      </c>
    </row>
    <row r="22" spans="1:10" x14ac:dyDescent="0.25">
      <c r="A22" s="1"/>
    </row>
    <row r="23" spans="1:10" x14ac:dyDescent="0.25">
      <c r="A23" s="1"/>
    </row>
    <row r="24" spans="1:10" x14ac:dyDescent="0.25">
      <c r="A24" s="1"/>
    </row>
    <row r="25" spans="1:10" x14ac:dyDescent="0.25">
      <c r="A25" s="1"/>
    </row>
    <row r="26" spans="1:10" x14ac:dyDescent="0.25">
      <c r="A26" s="1"/>
    </row>
    <row r="27" spans="1:10" x14ac:dyDescent="0.25">
      <c r="A27" s="1"/>
    </row>
    <row r="28" spans="1:10" x14ac:dyDescent="0.25">
      <c r="A28" s="1"/>
    </row>
  </sheetData>
  <autoFilter ref="A1:I28"/>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30" r:id="rId3" name="ComboBox1">
          <controlPr defaultSize="0" autoLine="0" r:id="rId4">
            <anchor moveWithCells="1">
              <from>
                <xdr:col>11</xdr:col>
                <xdr:colOff>466725</xdr:colOff>
                <xdr:row>33</xdr:row>
                <xdr:rowOff>9525</xdr:rowOff>
              </from>
              <to>
                <xdr:col>14</xdr:col>
                <xdr:colOff>495300</xdr:colOff>
                <xdr:row>35</xdr:row>
                <xdr:rowOff>95250</xdr:rowOff>
              </to>
            </anchor>
          </controlPr>
        </control>
      </mc:Choice>
      <mc:Fallback>
        <control shapeId="1030" r:id="rId3" name="ComboBox1"/>
      </mc:Fallback>
    </mc:AlternateContent>
    <mc:AlternateContent xmlns:mc="http://schemas.openxmlformats.org/markup-compatibility/2006">
      <mc:Choice Requires="x14">
        <control shapeId="1033" r:id="rId5" name="CommandButton1">
          <controlPr defaultSize="0" autoLine="0" r:id="rId6">
            <anchor moveWithCells="1">
              <from>
                <xdr:col>11</xdr:col>
                <xdr:colOff>238125</xdr:colOff>
                <xdr:row>8</xdr:row>
                <xdr:rowOff>123825</xdr:rowOff>
              </from>
              <to>
                <xdr:col>14</xdr:col>
                <xdr:colOff>457200</xdr:colOff>
                <xdr:row>12</xdr:row>
                <xdr:rowOff>19050</xdr:rowOff>
              </to>
            </anchor>
          </controlPr>
        </control>
      </mc:Choice>
      <mc:Fallback>
        <control shapeId="1033" r:id="rId5" name="CommandButton1"/>
      </mc:Fallback>
    </mc:AlternateContent>
    <mc:AlternateContent xmlns:mc="http://schemas.openxmlformats.org/markup-compatibility/2006">
      <mc:Choice Requires="x14">
        <control shapeId="1027" r:id="rId7" name="Drop Down 3">
          <controlPr defaultSize="0" autoLine="0" autoPict="0">
            <anchor moveWithCells="1">
              <from>
                <xdr:col>10</xdr:col>
                <xdr:colOff>390525</xdr:colOff>
                <xdr:row>1</xdr:row>
                <xdr:rowOff>95250</xdr:rowOff>
              </from>
              <to>
                <xdr:col>13</xdr:col>
                <xdr:colOff>238125</xdr:colOff>
                <xdr:row>3</xdr:row>
                <xdr:rowOff>142875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dimension ref="A1"/>
  <sheetViews>
    <sheetView tabSelected="1" topLeftCell="C1" zoomScale="50" zoomScaleNormal="50" workbookViewId="0">
      <selection activeCell="AJ30" sqref="AJ30"/>
    </sheetView>
  </sheetViews>
  <sheetFormatPr defaultRowHeight="15" x14ac:dyDescent="0.25"/>
  <cols>
    <col min="1" max="16384" width="9.140625" style="23"/>
  </cols>
  <sheetData/>
  <pageMargins left="0.511811024" right="0.511811024" top="0.78740157499999996" bottom="0.78740157499999996" header="0.31496062000000002" footer="0.31496062000000002"/>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A1:G6"/>
  <sheetViews>
    <sheetView workbookViewId="0">
      <selection activeCell="B5" sqref="B5"/>
    </sheetView>
  </sheetViews>
  <sheetFormatPr defaultRowHeight="15" x14ac:dyDescent="0.25"/>
  <cols>
    <col min="1" max="1" width="18" bestFit="1" customWidth="1"/>
    <col min="2" max="2" width="16.85546875" bestFit="1" customWidth="1"/>
    <col min="3" max="3" width="17" bestFit="1" customWidth="1"/>
    <col min="5" max="6" width="13.28515625" bestFit="1" customWidth="1"/>
  </cols>
  <sheetData>
    <row r="1" spans="1:7" x14ac:dyDescent="0.25">
      <c r="D1" t="s">
        <v>42</v>
      </c>
    </row>
    <row r="3" spans="1:7" x14ac:dyDescent="0.25">
      <c r="A3" s="3" t="s">
        <v>37</v>
      </c>
      <c r="B3" t="s">
        <v>39</v>
      </c>
      <c r="C3" t="s">
        <v>40</v>
      </c>
    </row>
    <row r="4" spans="1:7" x14ac:dyDescent="0.25">
      <c r="A4" s="4" t="s">
        <v>9</v>
      </c>
      <c r="B4" s="5">
        <v>525</v>
      </c>
      <c r="C4" s="6">
        <v>52500</v>
      </c>
      <c r="D4">
        <f>GETPIVOTDATA("Soma de Quantity",$A$3,"Product","Product A")</f>
        <v>525</v>
      </c>
      <c r="E4" s="4" t="s">
        <v>9</v>
      </c>
      <c r="F4" s="6">
        <f>GETPIVOTDATA("Soma de Revenue",$A$3,"Product","Product A")</f>
        <v>52500</v>
      </c>
      <c r="G4" s="10">
        <f>F4/$F$6</f>
        <v>0.6402439024390244</v>
      </c>
    </row>
    <row r="5" spans="1:7" x14ac:dyDescent="0.25">
      <c r="A5" s="4" t="s">
        <v>13</v>
      </c>
      <c r="B5" s="5">
        <v>295</v>
      </c>
      <c r="C5" s="6">
        <v>29500</v>
      </c>
      <c r="D5">
        <f>GETPIVOTDATA("Soma de Quantity",$A$3,"Product","Product B")</f>
        <v>295</v>
      </c>
      <c r="E5" s="4" t="s">
        <v>13</v>
      </c>
      <c r="F5" s="6">
        <f>GETPIVOTDATA("Soma de Revenue",$A$3,"Product","Product B")</f>
        <v>29500</v>
      </c>
      <c r="G5" s="10">
        <f>F5/$F$6</f>
        <v>0.3597560975609756</v>
      </c>
    </row>
    <row r="6" spans="1:7" x14ac:dyDescent="0.25">
      <c r="A6" s="4" t="s">
        <v>38</v>
      </c>
      <c r="B6" s="5">
        <v>820</v>
      </c>
      <c r="C6" s="6">
        <v>82000</v>
      </c>
      <c r="D6">
        <f>GETPIVOTDATA("Soma de Quantity",$A$3)</f>
        <v>820</v>
      </c>
      <c r="E6" s="8" t="s">
        <v>38</v>
      </c>
      <c r="F6" s="6">
        <f>GETPIVOTDATA("Soma de Revenue",$A$3)</f>
        <v>82000</v>
      </c>
      <c r="G6" s="10">
        <f>F6/$F$6</f>
        <v>1</v>
      </c>
    </row>
  </sheetData>
  <pageMargins left="0.511811024" right="0.511811024" top="0.78740157499999996" bottom="0.78740157499999996" header="0.31496062000000002" footer="0.31496062000000002"/>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dimension ref="A3:C10"/>
  <sheetViews>
    <sheetView workbookViewId="0">
      <selection activeCell="J11" sqref="J11"/>
    </sheetView>
  </sheetViews>
  <sheetFormatPr defaultRowHeight="15" x14ac:dyDescent="0.25"/>
  <cols>
    <col min="1" max="1" width="18" bestFit="1" customWidth="1"/>
    <col min="2" max="2" width="17" bestFit="1" customWidth="1"/>
  </cols>
  <sheetData>
    <row r="3" spans="1:3" x14ac:dyDescent="0.25">
      <c r="A3" s="3" t="s">
        <v>37</v>
      </c>
      <c r="B3" t="s">
        <v>40</v>
      </c>
    </row>
    <row r="4" spans="1:3" x14ac:dyDescent="0.25">
      <c r="A4" s="4" t="s">
        <v>29</v>
      </c>
      <c r="B4" s="6">
        <v>8800</v>
      </c>
      <c r="C4" s="10">
        <f>GETPIVOTDATA("Revenue",$A$3,"VendorName","VendorT")/GETPIVOTDATA("Revenue",$A$3)</f>
        <v>0.10731707317073171</v>
      </c>
    </row>
    <row r="5" spans="1:3" x14ac:dyDescent="0.25">
      <c r="A5" s="4" t="s">
        <v>26</v>
      </c>
      <c r="B5" s="6">
        <v>11700</v>
      </c>
      <c r="C5" s="10">
        <f>GETPIVOTDATA("Revenue",$A$3,"VendorName","VendorU")/GETPIVOTDATA("Revenue",$A$3)</f>
        <v>0.14268292682926828</v>
      </c>
    </row>
    <row r="6" spans="1:3" x14ac:dyDescent="0.25">
      <c r="A6" s="4" t="s">
        <v>23</v>
      </c>
      <c r="B6" s="6">
        <v>11800</v>
      </c>
      <c r="C6" s="10">
        <f>GETPIVOTDATA("Revenue",$A$3,"VendorName","VendorW")/GETPIVOTDATA("Revenue",$A$3)</f>
        <v>0.14390243902439023</v>
      </c>
    </row>
    <row r="7" spans="1:3" x14ac:dyDescent="0.25">
      <c r="A7" s="4" t="s">
        <v>12</v>
      </c>
      <c r="B7" s="6">
        <v>19400</v>
      </c>
      <c r="C7" s="10">
        <f>GETPIVOTDATA("Revenue",$A$3,"VendorName","VendorX")/GETPIVOTDATA("Revenue",$A$3)</f>
        <v>0.23658536585365852</v>
      </c>
    </row>
    <row r="8" spans="1:3" x14ac:dyDescent="0.25">
      <c r="A8" s="4" t="s">
        <v>16</v>
      </c>
      <c r="B8" s="6">
        <v>15100</v>
      </c>
      <c r="C8" s="10">
        <f>GETPIVOTDATA("Revenue",$A$3,"VendorName","VendorY")/GETPIVOTDATA("Revenue",$A$3)</f>
        <v>0.18414634146341463</v>
      </c>
    </row>
    <row r="9" spans="1:3" x14ac:dyDescent="0.25">
      <c r="A9" s="4" t="s">
        <v>19</v>
      </c>
      <c r="B9" s="6">
        <v>15200</v>
      </c>
      <c r="C9" s="10">
        <f>GETPIVOTDATA("Revenue",$A$3,"VendorName","VendorZ")/GETPIVOTDATA("Revenue",$A$3)</f>
        <v>0.18536585365853658</v>
      </c>
    </row>
    <row r="10" spans="1:3" x14ac:dyDescent="0.25">
      <c r="A10" s="4" t="s">
        <v>38</v>
      </c>
      <c r="B10" s="6">
        <v>82000</v>
      </c>
      <c r="C10" s="10">
        <f>GETPIVOTDATA("Revenue",$A$3)/GETPIVOTDATA("Revenue",$A$3)</f>
        <v>1</v>
      </c>
    </row>
  </sheetData>
  <pageMargins left="0.511811024" right="0.511811024" top="0.78740157499999996" bottom="0.78740157499999996" header="0.31496062000000002" footer="0.31496062000000002"/>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dimension ref="A1:H32"/>
  <sheetViews>
    <sheetView topLeftCell="A7" workbookViewId="0">
      <selection activeCell="H15" sqref="H15"/>
    </sheetView>
  </sheetViews>
  <sheetFormatPr defaultRowHeight="15" x14ac:dyDescent="0.25"/>
  <cols>
    <col min="1" max="1" width="18" bestFit="1" customWidth="1"/>
    <col min="2" max="2" width="19.5703125" bestFit="1" customWidth="1"/>
    <col min="3" max="4" width="13.28515625" bestFit="1" customWidth="1"/>
    <col min="6" max="6" width="46" bestFit="1" customWidth="1"/>
    <col min="7" max="8" width="13.28515625" bestFit="1" customWidth="1"/>
  </cols>
  <sheetData>
    <row r="1" spans="1:8" x14ac:dyDescent="0.25">
      <c r="F1" t="s">
        <v>42</v>
      </c>
    </row>
    <row r="3" spans="1:8" x14ac:dyDescent="0.25">
      <c r="A3" s="3" t="s">
        <v>40</v>
      </c>
      <c r="B3" s="3" t="s">
        <v>41</v>
      </c>
    </row>
    <row r="4" spans="1:8" x14ac:dyDescent="0.25">
      <c r="A4" s="3" t="s">
        <v>37</v>
      </c>
      <c r="B4" t="s">
        <v>9</v>
      </c>
      <c r="C4" t="s">
        <v>13</v>
      </c>
      <c r="D4" t="s">
        <v>38</v>
      </c>
      <c r="E4" s="11"/>
      <c r="F4" s="11"/>
      <c r="G4" s="11"/>
      <c r="H4" s="11"/>
    </row>
    <row r="5" spans="1:8" x14ac:dyDescent="0.25">
      <c r="A5" s="4" t="s">
        <v>18</v>
      </c>
      <c r="B5" s="6">
        <v>26900</v>
      </c>
      <c r="C5" s="6"/>
      <c r="D5" s="6">
        <v>26900</v>
      </c>
      <c r="E5" s="4" t="str">
        <f>A5</f>
        <v>East</v>
      </c>
      <c r="F5" s="6">
        <f>GETPIVOTDATA("Revenue",$A$3,"Region","East")</f>
        <v>26900</v>
      </c>
      <c r="G5" s="6"/>
      <c r="H5" s="6"/>
    </row>
    <row r="6" spans="1:8" x14ac:dyDescent="0.25">
      <c r="A6" s="4" t="s">
        <v>11</v>
      </c>
      <c r="B6" s="6">
        <v>25600</v>
      </c>
      <c r="C6" s="6"/>
      <c r="D6" s="6">
        <v>25600</v>
      </c>
      <c r="E6" s="4" t="str">
        <f>A6</f>
        <v>North</v>
      </c>
      <c r="F6" s="6">
        <f>GETPIVOTDATA("Revenue",$A$3,"Region","North")</f>
        <v>25600</v>
      </c>
      <c r="G6" s="6"/>
      <c r="H6" s="6"/>
    </row>
    <row r="7" spans="1:8" x14ac:dyDescent="0.25">
      <c r="A7" s="4" t="s">
        <v>15</v>
      </c>
      <c r="B7" s="6"/>
      <c r="C7" s="6">
        <v>15100</v>
      </c>
      <c r="D7" s="6">
        <v>15100</v>
      </c>
      <c r="E7" s="4" t="str">
        <f>A7</f>
        <v>South</v>
      </c>
      <c r="F7" s="6">
        <f>GETPIVOTDATA("Revenue",$A$3,"Region","South")</f>
        <v>15100</v>
      </c>
      <c r="G7" s="6"/>
      <c r="H7" s="6"/>
    </row>
    <row r="8" spans="1:8" x14ac:dyDescent="0.25">
      <c r="A8" s="4" t="s">
        <v>21</v>
      </c>
      <c r="B8" s="6"/>
      <c r="C8" s="6">
        <v>14400</v>
      </c>
      <c r="D8" s="6">
        <v>14400</v>
      </c>
      <c r="E8" s="4" t="str">
        <f>A8</f>
        <v>West</v>
      </c>
      <c r="F8" s="6">
        <f>GETPIVOTDATA("Revenue",$A$3,"Region","West")</f>
        <v>14400</v>
      </c>
      <c r="G8" s="6"/>
      <c r="H8" s="6"/>
    </row>
    <row r="9" spans="1:8" x14ac:dyDescent="0.25">
      <c r="A9" s="4" t="s">
        <v>38</v>
      </c>
      <c r="B9" s="6">
        <v>52500</v>
      </c>
      <c r="C9" s="6">
        <v>29500</v>
      </c>
      <c r="D9" s="6">
        <v>82000</v>
      </c>
      <c r="E9" s="8" t="str">
        <f>A9</f>
        <v>Total Geral</v>
      </c>
      <c r="F9" s="12">
        <f>GETPIVOTDATA("Revenue",$A$3)</f>
        <v>82000</v>
      </c>
      <c r="G9" s="12"/>
      <c r="H9" s="12"/>
    </row>
    <row r="15" spans="1:8" x14ac:dyDescent="0.25">
      <c r="E15" s="13"/>
      <c r="F15" s="14"/>
      <c r="G15" s="15"/>
    </row>
    <row r="16" spans="1:8" x14ac:dyDescent="0.25">
      <c r="E16" s="16"/>
      <c r="F16" s="17"/>
      <c r="G16" s="18"/>
    </row>
    <row r="17" spans="5:7" x14ac:dyDescent="0.25">
      <c r="E17" s="16"/>
      <c r="F17" s="17"/>
      <c r="G17" s="18"/>
    </row>
    <row r="18" spans="5:7" x14ac:dyDescent="0.25">
      <c r="E18" s="16"/>
      <c r="F18" s="17"/>
      <c r="G18" s="18"/>
    </row>
    <row r="19" spans="5:7" x14ac:dyDescent="0.25">
      <c r="E19" s="16"/>
      <c r="F19" s="17"/>
      <c r="G19" s="18"/>
    </row>
    <row r="20" spans="5:7" x14ac:dyDescent="0.25">
      <c r="E20" s="16"/>
      <c r="F20" s="17"/>
      <c r="G20" s="18"/>
    </row>
    <row r="21" spans="5:7" x14ac:dyDescent="0.25">
      <c r="E21" s="16"/>
      <c r="F21" s="17"/>
      <c r="G21" s="18"/>
    </row>
    <row r="22" spans="5:7" x14ac:dyDescent="0.25">
      <c r="E22" s="16"/>
      <c r="F22" s="17"/>
      <c r="G22" s="18"/>
    </row>
    <row r="23" spans="5:7" x14ac:dyDescent="0.25">
      <c r="E23" s="16"/>
      <c r="F23" s="17"/>
      <c r="G23" s="18"/>
    </row>
    <row r="24" spans="5:7" x14ac:dyDescent="0.25">
      <c r="E24" s="16"/>
      <c r="F24" s="17"/>
      <c r="G24" s="18"/>
    </row>
    <row r="25" spans="5:7" x14ac:dyDescent="0.25">
      <c r="E25" s="16"/>
      <c r="F25" s="17"/>
      <c r="G25" s="18"/>
    </row>
    <row r="26" spans="5:7" x14ac:dyDescent="0.25">
      <c r="E26" s="16"/>
      <c r="F26" s="17"/>
      <c r="G26" s="18"/>
    </row>
    <row r="27" spans="5:7" x14ac:dyDescent="0.25">
      <c r="E27" s="16"/>
      <c r="F27" s="17"/>
      <c r="G27" s="18"/>
    </row>
    <row r="28" spans="5:7" x14ac:dyDescent="0.25">
      <c r="E28" s="16"/>
      <c r="F28" s="17"/>
      <c r="G28" s="18"/>
    </row>
    <row r="29" spans="5:7" x14ac:dyDescent="0.25">
      <c r="E29" s="16"/>
      <c r="F29" s="17"/>
      <c r="G29" s="18"/>
    </row>
    <row r="30" spans="5:7" x14ac:dyDescent="0.25">
      <c r="E30" s="16"/>
      <c r="F30" s="17"/>
      <c r="G30" s="18"/>
    </row>
    <row r="31" spans="5:7" x14ac:dyDescent="0.25">
      <c r="E31" s="16"/>
      <c r="F31" s="17"/>
      <c r="G31" s="18"/>
    </row>
    <row r="32" spans="5:7" x14ac:dyDescent="0.25">
      <c r="E32" s="19"/>
      <c r="F32" s="20"/>
      <c r="G32" s="21"/>
    </row>
  </sheetData>
  <pageMargins left="0.511811024" right="0.511811024" top="0.78740157499999996" bottom="0.78740157499999996" header="0.31496062000000002" footer="0.3149606200000000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dimension ref="A3:B14"/>
  <sheetViews>
    <sheetView workbookViewId="0">
      <selection activeCell="B5" sqref="B5"/>
    </sheetView>
  </sheetViews>
  <sheetFormatPr defaultRowHeight="15" x14ac:dyDescent="0.25"/>
  <cols>
    <col min="1" max="1" width="18" bestFit="1" customWidth="1"/>
    <col min="2" max="2" width="17" bestFit="1" customWidth="1"/>
  </cols>
  <sheetData>
    <row r="3" spans="1:2" x14ac:dyDescent="0.25">
      <c r="A3" s="3" t="s">
        <v>37</v>
      </c>
      <c r="B3" t="s">
        <v>40</v>
      </c>
    </row>
    <row r="4" spans="1:2" x14ac:dyDescent="0.25">
      <c r="A4" s="9">
        <v>45292</v>
      </c>
      <c r="B4" s="6">
        <v>8000</v>
      </c>
    </row>
    <row r="5" spans="1:2" x14ac:dyDescent="0.25">
      <c r="A5" s="9">
        <v>45293</v>
      </c>
      <c r="B5" s="6">
        <v>7000</v>
      </c>
    </row>
    <row r="6" spans="1:2" x14ac:dyDescent="0.25">
      <c r="A6" s="9">
        <v>45294</v>
      </c>
      <c r="B6" s="6">
        <v>9500</v>
      </c>
    </row>
    <row r="7" spans="1:2" x14ac:dyDescent="0.25">
      <c r="A7" s="9">
        <v>45295</v>
      </c>
      <c r="B7" s="6">
        <v>8300</v>
      </c>
    </row>
    <row r="8" spans="1:2" x14ac:dyDescent="0.25">
      <c r="A8" s="9">
        <v>45296</v>
      </c>
      <c r="B8" s="6">
        <v>8000</v>
      </c>
    </row>
    <row r="9" spans="1:2" x14ac:dyDescent="0.25">
      <c r="A9" s="9">
        <v>45297</v>
      </c>
      <c r="B9" s="6">
        <v>8200</v>
      </c>
    </row>
    <row r="10" spans="1:2" x14ac:dyDescent="0.25">
      <c r="A10" s="9">
        <v>45298</v>
      </c>
      <c r="B10" s="6">
        <v>9200</v>
      </c>
    </row>
    <row r="11" spans="1:2" x14ac:dyDescent="0.25">
      <c r="A11" s="9">
        <v>45299</v>
      </c>
      <c r="B11" s="6">
        <v>9800</v>
      </c>
    </row>
    <row r="12" spans="1:2" x14ac:dyDescent="0.25">
      <c r="A12" s="9">
        <v>45300</v>
      </c>
      <c r="B12" s="6">
        <v>6000</v>
      </c>
    </row>
    <row r="13" spans="1:2" x14ac:dyDescent="0.25">
      <c r="A13" s="9">
        <v>45301</v>
      </c>
      <c r="B13" s="6">
        <v>8000</v>
      </c>
    </row>
    <row r="14" spans="1:2" x14ac:dyDescent="0.25">
      <c r="A14" s="9" t="s">
        <v>38</v>
      </c>
      <c r="B14" s="6">
        <v>82000</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I9"/>
  <sheetViews>
    <sheetView workbookViewId="0">
      <selection activeCell="F8" sqref="F8"/>
    </sheetView>
  </sheetViews>
  <sheetFormatPr defaultRowHeight="15" x14ac:dyDescent="0.25"/>
  <cols>
    <col min="2" max="2" width="28.140625" bestFit="1" customWidth="1"/>
  </cols>
  <sheetData>
    <row r="1" spans="1:9" x14ac:dyDescent="0.25">
      <c r="I1" s="2" t="s">
        <v>35</v>
      </c>
    </row>
    <row r="2" spans="1:9" x14ac:dyDescent="0.25">
      <c r="A2">
        <v>1</v>
      </c>
      <c r="B2" t="s">
        <v>31</v>
      </c>
    </row>
    <row r="3" spans="1:9" x14ac:dyDescent="0.25">
      <c r="A3">
        <v>2</v>
      </c>
      <c r="B3" s="7" t="s">
        <v>32</v>
      </c>
      <c r="C3" t="s">
        <v>33</v>
      </c>
    </row>
    <row r="4" spans="1:9" x14ac:dyDescent="0.25">
      <c r="A4" s="7">
        <v>3</v>
      </c>
      <c r="B4" s="7" t="s">
        <v>34</v>
      </c>
    </row>
    <row r="5" spans="1:9" x14ac:dyDescent="0.25">
      <c r="A5" s="7">
        <v>4</v>
      </c>
      <c r="B5" s="7" t="s">
        <v>36</v>
      </c>
    </row>
    <row r="6" spans="1:9" x14ac:dyDescent="0.25">
      <c r="A6">
        <v>5</v>
      </c>
      <c r="B6" s="22" t="s">
        <v>44</v>
      </c>
    </row>
    <row r="7" spans="1:9" x14ac:dyDescent="0.25">
      <c r="A7">
        <v>6</v>
      </c>
      <c r="B7" s="22" t="s">
        <v>45</v>
      </c>
    </row>
    <row r="8" spans="1:9" x14ac:dyDescent="0.25">
      <c r="A8">
        <v>7</v>
      </c>
      <c r="B8" s="22" t="s">
        <v>47</v>
      </c>
    </row>
    <row r="9" spans="1:9" x14ac:dyDescent="0.25">
      <c r="A9">
        <v>8</v>
      </c>
      <c r="B9" s="22" t="s">
        <v>46</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1</vt:i4>
      </vt:variant>
    </vt:vector>
  </HeadingPairs>
  <TitlesOfParts>
    <vt:vector size="8" baseType="lpstr">
      <vt:lpstr>Table</vt:lpstr>
      <vt:lpstr>Dashboard</vt:lpstr>
      <vt:lpstr>Product Analysis</vt:lpstr>
      <vt:lpstr>Region-Vendor</vt:lpstr>
      <vt:lpstr>Region Analysis</vt:lpstr>
      <vt:lpstr>Date</vt:lpstr>
      <vt:lpstr>Tasks</vt:lpstr>
      <vt:lpstr>pivotTableWork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Usuário do Windows</dc:creator>
  <cp:lastModifiedBy>Usuário do Windows</cp:lastModifiedBy>
  <dcterms:created xsi:type="dcterms:W3CDTF">2024-01-30T18:13:58Z</dcterms:created>
  <dcterms:modified xsi:type="dcterms:W3CDTF">2024-03-25T19:15:26Z</dcterms:modified>
</cp:coreProperties>
</file>